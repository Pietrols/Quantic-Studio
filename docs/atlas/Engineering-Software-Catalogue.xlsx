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talogue" sheetId="1" state="visible" r:id="rId3"/>
    <sheet name="Field map" sheetId="2" state="visible" r:id="rId4"/>
    <sheet name="Languages" sheetId="3" state="visible" r:id="rId5"/>
    <sheet name="Read me" sheetId="4" state="visible" r:id="rId6"/>
  </sheets>
  <definedNames>
    <definedName function="false" hidden="true" localSheetId="0" name="_xlnm._FilterDatabase" vbProcedure="false">Catalogue!$A$5:$L$485</definedName>
    <definedName function="false" hidden="true" localSheetId="1" name="_xlnm._FilterDatabase" vbProcedure="false">'Field map'!$A$5:$K$53</definedName>
    <definedName function="false" hidden="true" localSheetId="2" name="_xlnm._FilterDatabase" vbProcedure="false">Languages!$A$5:$F$49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<sst xmlns="http://schemas.openxmlformats.org/spreadsheetml/2006/main" count="5104" uniqueCount="2191">
  <si>
    <t xml:space="preserve">Engineering and IT software catalogue</t>
  </si>
  <si>
    <t xml:space="preserve">Entries</t>
  </si>
  <si>
    <t xml:space="preserve">Unranked shortlists · research date 7 October 2026 · IT rows shaded</t>
  </si>
  <si>
    <t xml:space="preserve">Field ID</t>
  </si>
  <si>
    <t xml:space="preserve">Product / module / toolchain</t>
  </si>
  <si>
    <t xml:space="preserve">Access</t>
  </si>
  <si>
    <t xml:space="preserve">Best-fit job</t>
  </si>
  <si>
    <t xml:space="preserve">Boundary to check</t>
  </si>
  <si>
    <t xml:space="preserve">Implementation / hypothesis</t>
  </si>
  <si>
    <t xml:space="preserve">User / extension language</t>
  </si>
  <si>
    <t xml:space="preserve">Language evidence</t>
  </si>
  <si>
    <t xml:space="preserve">Source coverage</t>
  </si>
  <si>
    <t xml:space="preserve">Official discovery link</t>
  </si>
  <si>
    <t xml:space="preserve">Retrieved source / research lead</t>
  </si>
  <si>
    <t xml:space="preserve">Language evidence link</t>
  </si>
  <si>
    <t xml:space="preserve">E01</t>
  </si>
  <si>
    <t xml:space="preserve">ETAP</t>
  </si>
  <si>
    <t xml:space="preserve">P</t>
  </si>
  <si>
    <t xml:space="preserve">Industrial network studies</t>
  </si>
  <si>
    <t xml:space="preserve">Capabilities depend on modules</t>
  </si>
  <si>
    <t xml:space="preserve">Hypothesis: C/C++ and/or Fortran numerical kernels; mixed UI</t>
  </si>
  <si>
    <t xml:space="preserve">Product-specific scripting, UDFs and input decks</t>
  </si>
  <si>
    <t xml:space="preserve">Architecture hypothesis only</t>
  </si>
  <si>
    <t xml:space="preserve">Product/family reference</t>
  </si>
  <si>
    <t xml:space="preserve">DIgSILENT PowerFactory</t>
  </si>
  <si>
    <t xml:space="preserve">Transmission and distribution studies</t>
  </si>
  <si>
    <t xml:space="preserve">Detailed models require specialist setup</t>
  </si>
  <si>
    <t xml:space="preserve">PSS E</t>
  </si>
  <si>
    <t xml:space="preserve">Transmission planning and dynamics</t>
  </si>
  <si>
    <t xml:space="preserve">Not a complete industrial electrical design package</t>
  </si>
  <si>
    <t xml:space="preserve">Vendor-level reference</t>
  </si>
  <si>
    <t xml:space="preserve">PowerWorld Simulator</t>
  </si>
  <si>
    <t xml:space="preserve">Network visualization and transmission analysis</t>
  </si>
  <si>
    <t xml:space="preserve">Check distribution and dynamics requirements</t>
  </si>
  <si>
    <t xml:space="preserve">CYME</t>
  </si>
  <si>
    <t xml:space="preserve">Distribution network analysis</t>
  </si>
  <si>
    <t xml:space="preserve">Licensed modules determine coverage</t>
  </si>
  <si>
    <t xml:space="preserve">Candidate: direct verification pending</t>
  </si>
  <si>
    <t xml:space="preserve">Synergi Electric</t>
  </si>
  <si>
    <t xml:space="preserve">Distribution planning</t>
  </si>
  <si>
    <t xml:space="preserve">Utility data preparation remains substantial</t>
  </si>
  <si>
    <t xml:space="preserve">SKM PowerTools</t>
  </si>
  <si>
    <t xml:space="preserve">Industrial power system studies</t>
  </si>
  <si>
    <t xml:space="preserve">Study types and device libraries need checking</t>
  </si>
  <si>
    <t xml:space="preserve">NEPLAN</t>
  </si>
  <si>
    <t xml:space="preserve">Electrical network analysis</t>
  </si>
  <si>
    <t xml:space="preserve">Verify edition and solver options</t>
  </si>
  <si>
    <t xml:space="preserve">OpenDSS</t>
  </si>
  <si>
    <t xml:space="preserve">O</t>
  </si>
  <si>
    <t xml:space="preserve">Unbalanced distribution simulation</t>
  </si>
  <si>
    <t xml:space="preserve">Engineering interface work remains</t>
  </si>
  <si>
    <t xml:space="preserve">Delphi/Object Pascal; Free Pascal in OpenDSSCmd</t>
  </si>
  <si>
    <t xml:space="preserve">DSS commands; external automation interfaces</t>
  </si>
  <si>
    <t xml:space="preserve">Official project distribution documentation</t>
  </si>
  <si>
    <t xml:space="preserve">pandapower</t>
  </si>
  <si>
    <t xml:space="preserve">Automated Python-based network studies</t>
  </si>
  <si>
    <t xml:space="preserve">Library rather than turnkey desktop suite</t>
  </si>
  <si>
    <t xml:space="preserve">Python, using numerical dependencies</t>
  </si>
  <si>
    <t xml:space="preserve">Python</t>
  </si>
  <si>
    <t xml:space="preserve">Project documentation and repository</t>
  </si>
  <si>
    <t xml:space="preserve">E02</t>
  </si>
  <si>
    <t xml:space="preserve">ETAP protection modules</t>
  </si>
  <si>
    <t xml:space="preserve">Relay coordination and arc-flash workflows</t>
  </si>
  <si>
    <t xml:space="preserve">Module and standards edition matter</t>
  </si>
  <si>
    <t xml:space="preserve">SKM PowerTools CAPTOR and A_Fault</t>
  </si>
  <si>
    <t xml:space="preserve">Time-current and arc-flash studies</t>
  </si>
  <si>
    <t xml:space="preserve">Device data and settings require review</t>
  </si>
  <si>
    <t xml:space="preserve">EasyPower</t>
  </si>
  <si>
    <t xml:space="preserve">Facility electrical safety studies</t>
  </si>
  <si>
    <t xml:space="preserve">Check supported calculation standards</t>
  </si>
  <si>
    <t xml:space="preserve">DIgSILENT PowerFactory protection</t>
  </si>
  <si>
    <t xml:space="preserve">Protection within a network model</t>
  </si>
  <si>
    <t xml:space="preserve">Specialized relay models need validation</t>
  </si>
  <si>
    <t xml:space="preserve">ASPEN OneLiner</t>
  </si>
  <si>
    <t xml:space="preserve">Fault and relay studies</t>
  </si>
  <si>
    <t xml:space="preserve">Not a general CAD or EMT environment</t>
  </si>
  <si>
    <t xml:space="preserve">CAPE</t>
  </si>
  <si>
    <t xml:space="preserve">Utility protection engineering</t>
  </si>
  <si>
    <t xml:space="preserve">Utility-scale setup and licensing</t>
  </si>
  <si>
    <t xml:space="preserve">CYME protection modules</t>
  </si>
  <si>
    <t xml:space="preserve">Distribution coordination</t>
  </si>
  <si>
    <t xml:space="preserve">Module availability varies</t>
  </si>
  <si>
    <t xml:space="preserve">NEPLAN protection</t>
  </si>
  <si>
    <t xml:space="preserve">Network fault and protection analysis</t>
  </si>
  <si>
    <t xml:space="preserve">Verify relay library coverage</t>
  </si>
  <si>
    <t xml:space="preserve">ERACS</t>
  </si>
  <si>
    <t xml:space="preserve">Industrial fault and protection studies</t>
  </si>
  <si>
    <t xml:space="preserve">Check current modules and standards</t>
  </si>
  <si>
    <t xml:space="preserve">DIgSILENT StationWare</t>
  </si>
  <si>
    <t xml:space="preserve">Protection settings management</t>
  </si>
  <si>
    <t xml:space="preserve">Companion database, not a fault solver</t>
  </si>
  <si>
    <t xml:space="preserve">E03</t>
  </si>
  <si>
    <t xml:space="preserve">PSCAD/EMTDC</t>
  </si>
  <si>
    <t xml:space="preserve">Grid electromagnetic transients</t>
  </si>
  <si>
    <t xml:space="preserve">Generated simulation needs a compiler</t>
  </si>
  <si>
    <t xml:space="preserve">Fortran/C simulation compilation path</t>
  </si>
  <si>
    <t xml:space="preserve">Graphical models; Fortran/C components</t>
  </si>
  <si>
    <t xml:space="preserve">Documented generated-code/runtime path</t>
  </si>
  <si>
    <t xml:space="preserve">EMTP</t>
  </si>
  <si>
    <t xml:space="preserve">Power-network transient studies</t>
  </si>
  <si>
    <t xml:space="preserve">Detailed equipment models required</t>
  </si>
  <si>
    <t xml:space="preserve">PLECS</t>
  </si>
  <si>
    <t xml:space="preserve">Converter and control simulation</t>
  </si>
  <si>
    <t xml:space="preserve">Thermal and real-time features vary</t>
  </si>
  <si>
    <t xml:space="preserve">PSIM</t>
  </si>
  <si>
    <t xml:space="preserve">Power electronics and motor drives</t>
  </si>
  <si>
    <t xml:space="preserve">Check model fidelity for parasitics</t>
  </si>
  <si>
    <t xml:space="preserve">Simulink with Simscape Electrical</t>
  </si>
  <si>
    <t xml:space="preserve">Controls and physical electrical models</t>
  </si>
  <si>
    <t xml:space="preserve">Multiple product licenses may be needed</t>
  </si>
  <si>
    <t xml:space="preserve">Historic Fortran; commercial rewrite C; R2025a UI HTML/JavaScript</t>
  </si>
  <si>
    <t xml:space="preserve">MATLAB; C/C++/Fortran MEX</t>
  </si>
  <si>
    <t xml:space="preserve">Documented history, UI and interfaces</t>
  </si>
  <si>
    <t xml:space="preserve">SIMetrix/SIMPLIS</t>
  </si>
  <si>
    <t xml:space="preserve">Switching power-supply analysis</t>
  </si>
  <si>
    <t xml:space="preserve">Simulator model assumptions differ</t>
  </si>
  <si>
    <t xml:space="preserve">LTspice</t>
  </si>
  <si>
    <t xml:space="preserve">F</t>
  </si>
  <si>
    <t xml:space="preserve">SPICE circuit simulation</t>
  </si>
  <si>
    <t xml:space="preserve">Freeware, not open source</t>
  </si>
  <si>
    <t xml:space="preserve">QSPICE</t>
  </si>
  <si>
    <t xml:space="preserve">Mixed circuit simulation</t>
  </si>
  <si>
    <t xml:space="preserve">Freeware, not an open engine</t>
  </si>
  <si>
    <t xml:space="preserve">Typhoon HIL toolchain</t>
  </si>
  <si>
    <t xml:space="preserve">Real-time converter testing</t>
  </si>
  <si>
    <t xml:space="preserve">Hardware-coupled workflow</t>
  </si>
  <si>
    <t xml:space="preserve">RT-LAB</t>
  </si>
  <si>
    <t xml:space="preserve">Real-time simulation integration</t>
  </si>
  <si>
    <t xml:space="preserve">Timing and hardware setup dominate</t>
  </si>
  <si>
    <t xml:space="preserve">E04</t>
  </si>
  <si>
    <t xml:space="preserve">MATLAB Control System Toolbox</t>
  </si>
  <si>
    <t xml:space="preserve">Control analysis and design</t>
  </si>
  <si>
    <t xml:space="preserve">Requires MATLAB and relevant add-ons</t>
  </si>
  <si>
    <t xml:space="preserve">Simulink</t>
  </si>
  <si>
    <t xml:space="preserve">Block-diagram dynamic simulation</t>
  </si>
  <si>
    <t xml:space="preserve">Solver and sample-time choices matter</t>
  </si>
  <si>
    <t xml:space="preserve">LabVIEW</t>
  </si>
  <si>
    <t xml:space="preserve">Control experiments and instrumentation</t>
  </si>
  <si>
    <t xml:space="preserve">Real-time deployment needs matching platform</t>
  </si>
  <si>
    <t xml:space="preserve">Simcenter Amesim</t>
  </si>
  <si>
    <t xml:space="preserve">Control with physical system models</t>
  </si>
  <si>
    <t xml:space="preserve">Library and license scope varies</t>
  </si>
  <si>
    <t xml:space="preserve">MapleSim</t>
  </si>
  <si>
    <t xml:space="preserve">Symbolic and physical modelling</t>
  </si>
  <si>
    <t xml:space="preserve">Not interchangeable with every toolbox</t>
  </si>
  <si>
    <t xml:space="preserve">Wolfram System Modeler</t>
  </si>
  <si>
    <t xml:space="preserve">Modelica-based system dynamics</t>
  </si>
  <si>
    <t xml:space="preserve">Ecosystem differs from Simulink</t>
  </si>
  <si>
    <t xml:space="preserve">Scilab/Xcos</t>
  </si>
  <si>
    <t xml:space="preserve">Open numerical and block-diagram analysis</t>
  </si>
  <si>
    <t xml:space="preserve">Toolbox compatibility is incomplete</t>
  </si>
  <si>
    <t xml:space="preserve">Public-source project; language mix not audited in this pass</t>
  </si>
  <si>
    <t xml:space="preserve">See project language/API documentation</t>
  </si>
  <si>
    <t xml:space="preserve">Implementation check pending</t>
  </si>
  <si>
    <t xml:space="preserve">python-control</t>
  </si>
  <si>
    <t xml:space="preserve">Programmable feedback-system analysis</t>
  </si>
  <si>
    <t xml:space="preserve">Code-first experience</t>
  </si>
  <si>
    <t xml:space="preserve">OpenModelica</t>
  </si>
  <si>
    <t xml:space="preserve">Equation-based physical control models</t>
  </si>
  <si>
    <t xml:space="preserve">Model translation can be difficult</t>
  </si>
  <si>
    <t xml:space="preserve">MetaModelica compiler architecture; generated C/C++ runtime paths</t>
  </si>
  <si>
    <t xml:space="preserve">Modelica; scripting/interfaces</t>
  </si>
  <si>
    <t xml:space="preserve">Official compiler documentation</t>
  </si>
  <si>
    <t xml:space="preserve">GNU Octave control package</t>
  </si>
  <si>
    <t xml:space="preserve">MATLAB-like control workflows</t>
  </si>
  <si>
    <t xml:space="preserve">Not complete MATLAB toolbox parity</t>
  </si>
  <si>
    <t xml:space="preserve">Public compiled implementation; detailed mix not audited here</t>
  </si>
  <si>
    <t xml:space="preserve">Octave language; native extensions</t>
  </si>
  <si>
    <t xml:space="preserve">Official source and extension documentation</t>
  </si>
  <si>
    <t xml:space="preserve">E05</t>
  </si>
  <si>
    <t xml:space="preserve">TIA Portal STEP 7</t>
  </si>
  <si>
    <t xml:space="preserve">Siemens controller engineering</t>
  </si>
  <si>
    <t xml:space="preserve">Device-family coupling</t>
  </si>
  <si>
    <t xml:space="preserve">Unknown; native compiler/runtime with desktop or web UI is plausible</t>
  </si>
  <si>
    <t xml:space="preserve">IEC 61131 languages; vendor-specific features</t>
  </si>
  <si>
    <t xml:space="preserve">Studio 5000 Logix Designer</t>
  </si>
  <si>
    <t xml:space="preserve">Allen-Bradley Logix engineering</t>
  </si>
  <si>
    <t xml:space="preserve">Controller ecosystem dependence</t>
  </si>
  <si>
    <t xml:space="preserve">TwinCAT 3</t>
  </si>
  <si>
    <t xml:space="preserve">PC-based PLC and motion</t>
  </si>
  <si>
    <t xml:space="preserve">Runtime licenses and real-time setup</t>
  </si>
  <si>
    <t xml:space="preserve">CODESYS Development System</t>
  </si>
  <si>
    <t xml:space="preserve">IEC 61131 engineering across vendors</t>
  </si>
  <si>
    <t xml:space="preserve">Free IDE does not mean free/open runtime</t>
  </si>
  <si>
    <t xml:space="preserve">EcoStruxure Control Expert</t>
  </si>
  <si>
    <t xml:space="preserve">Schneider process PLCs</t>
  </si>
  <si>
    <t xml:space="preserve">Controller-specific deployment</t>
  </si>
  <si>
    <t xml:space="preserve">Sysmac Studio</t>
  </si>
  <si>
    <t xml:space="preserve">Omron automation and motion</t>
  </si>
  <si>
    <t xml:space="preserve">Hardware-family dependence</t>
  </si>
  <si>
    <t xml:space="preserve">GX Works3</t>
  </si>
  <si>
    <t xml:space="preserve">Mitsubishi PLC engineering</t>
  </si>
  <si>
    <t xml:space="preserve">Automation Studio</t>
  </si>
  <si>
    <t xml:space="preserve">B&amp;R control and motion</t>
  </si>
  <si>
    <t xml:space="preserve">Different from Famicom product of same name</t>
  </si>
  <si>
    <t xml:space="preserve">OpenPLC</t>
  </si>
  <si>
    <t xml:space="preserve">Open PLC development and runtime</t>
  </si>
  <si>
    <t xml:space="preserve">Verify current runtime and hardware support</t>
  </si>
  <si>
    <t xml:space="preserve">Beremiz</t>
  </si>
  <si>
    <t xml:space="preserve">Open IEC 61131 programming</t>
  </si>
  <si>
    <t xml:space="preserve">Smaller device and support ecosystem</t>
  </si>
  <si>
    <t xml:space="preserve">E06</t>
  </si>
  <si>
    <t xml:space="preserve">Ignition</t>
  </si>
  <si>
    <t xml:space="preserve">Modular industrial HMI and data platform</t>
  </si>
  <si>
    <t xml:space="preserve">Module and deployment design matter</t>
  </si>
  <si>
    <t xml:space="preserve">Java platform</t>
  </si>
  <si>
    <t xml:space="preserve">Python via Jython; SQL</t>
  </si>
  <si>
    <t xml:space="preserve">Documented platform and scripting</t>
  </si>
  <si>
    <t xml:space="preserve">SIMATIC WinCC</t>
  </si>
  <si>
    <t xml:space="preserve">Siemens HMI and SCADA</t>
  </si>
  <si>
    <t xml:space="preserve">Distinguish Unified and other product lines</t>
  </si>
  <si>
    <t xml:space="preserve">Unknown: native, JVM, .NET and web components are possible</t>
  </si>
  <si>
    <t xml:space="preserve">Product-specific languages/APIs; verify in documentation</t>
  </si>
  <si>
    <t xml:space="preserve">AVEVA System Platform</t>
  </si>
  <si>
    <t xml:space="preserve">Plant-wide supervisory applications</t>
  </si>
  <si>
    <t xml:space="preserve">Substantial application engineering</t>
  </si>
  <si>
    <t xml:space="preserve">AVEVA InTouch HMI</t>
  </si>
  <si>
    <t xml:space="preserve">Operator visualization</t>
  </si>
  <si>
    <t xml:space="preserve">Not the full System Platform stack</t>
  </si>
  <si>
    <t xml:space="preserve">FactoryTalk View</t>
  </si>
  <si>
    <t xml:space="preserve">Rockwell visualization</t>
  </si>
  <si>
    <t xml:space="preserve">Distinguish SE and ME editions</t>
  </si>
  <si>
    <t xml:space="preserve">VTScada</t>
  </si>
  <si>
    <t xml:space="preserve">Integrated SCADA applications</t>
  </si>
  <si>
    <t xml:space="preserve">Protocol and redundancy requirements vary</t>
  </si>
  <si>
    <t xml:space="preserve">zenon</t>
  </si>
  <si>
    <t xml:space="preserve">Industrial visualization and automation</t>
  </si>
  <si>
    <t xml:space="preserve">Product modules and drivers vary</t>
  </si>
  <si>
    <t xml:space="preserve">Movicon.NExT</t>
  </si>
  <si>
    <t xml:space="preserve">HMI and SCADA engineering</t>
  </si>
  <si>
    <t xml:space="preserve">Verify required connectors</t>
  </si>
  <si>
    <t xml:space="preserve">Rapid SCADA</t>
  </si>
  <si>
    <t xml:space="preserve">O/M</t>
  </si>
  <si>
    <t xml:space="preserve">Open core SCADA</t>
  </si>
  <si>
    <t xml:space="preserve">Some modules are commercial</t>
  </si>
  <si>
    <t xml:space="preserve">FUXA</t>
  </si>
  <si>
    <t xml:space="preserve">Browser-based industrial visualization</t>
  </si>
  <si>
    <t xml:space="preserve">Validate maturity for the intended workload</t>
  </si>
  <si>
    <t xml:space="preserve">E07</t>
  </si>
  <si>
    <t xml:space="preserve">EPLAN Electric P8</t>
  </si>
  <si>
    <t xml:space="preserve">Data-driven electrical schematics</t>
  </si>
  <si>
    <t xml:space="preserve">Library and platform integration effort</t>
  </si>
  <si>
    <t xml:space="preserve">Hypothesis: native C++ geometry; UI stack varies</t>
  </si>
  <si>
    <t xml:space="preserve">Product-specific scripting and APIs</t>
  </si>
  <si>
    <t xml:space="preserve">AutoCAD Electrical</t>
  </si>
  <si>
    <t xml:space="preserve">Electrical drafting and automation</t>
  </si>
  <si>
    <t xml:space="preserve">Different from ordinary AutoCAD drawings</t>
  </si>
  <si>
    <t xml:space="preserve">Zuken E3.series</t>
  </si>
  <si>
    <t xml:space="preserve">Electrical wiring and harness design</t>
  </si>
  <si>
    <t xml:space="preserve">Modules serve different workflows</t>
  </si>
  <si>
    <t xml:space="preserve">SEE Electrical</t>
  </si>
  <si>
    <t xml:space="preserve">Electrical schematic documentation</t>
  </si>
  <si>
    <t xml:space="preserve">Edition capabilities vary</t>
  </si>
  <si>
    <t xml:space="preserve">WSCAD ELECTRIX</t>
  </si>
  <si>
    <t xml:space="preserve">Electrical and building-services design</t>
  </si>
  <si>
    <t xml:space="preserve">Library and edition checks needed</t>
  </si>
  <si>
    <t xml:space="preserve">SOLIDWORKS Electrical</t>
  </si>
  <si>
    <t xml:space="preserve">Electrical-mechanical design linkage</t>
  </si>
  <si>
    <t xml:space="preserve">Requires a compatible CAD workflow</t>
  </si>
  <si>
    <t xml:space="preserve">Engineering Base</t>
  </si>
  <si>
    <t xml:space="preserve">Plant engineering data and diagrams</t>
  </si>
  <si>
    <t xml:space="preserve">Enterprise data-model complexity</t>
  </si>
  <si>
    <t xml:space="preserve">Capital</t>
  </si>
  <si>
    <t xml:space="preserve">Harness and electrical systems engineering</t>
  </si>
  <si>
    <t xml:space="preserve">Large-system workflow, not a small CAD clone</t>
  </si>
  <si>
    <t xml:space="preserve">Caneco BT</t>
  </si>
  <si>
    <t xml:space="preserve">Low-voltage installation design</t>
  </si>
  <si>
    <t xml:space="preserve">Country rules and editions matter</t>
  </si>
  <si>
    <t xml:space="preserve">QElectroTech</t>
  </si>
  <si>
    <t xml:space="preserve">Open electrical diagram creation</t>
  </si>
  <si>
    <t xml:space="preserve">Not a complete calculation suite</t>
  </si>
  <si>
    <t xml:space="preserve">E08</t>
  </si>
  <si>
    <t xml:space="preserve">PVsyst</t>
  </si>
  <si>
    <t xml:space="preserve">Detailed photovoltaic yield studies</t>
  </si>
  <si>
    <t xml:space="preserve">Input weather and shading remain critical</t>
  </si>
  <si>
    <t xml:space="preserve">HOMER Pro</t>
  </si>
  <si>
    <t xml:space="preserve">Microgrid techno-economic studies</t>
  </si>
  <si>
    <t xml:space="preserve">Dispatch assumptions need review</t>
  </si>
  <si>
    <t xml:space="preserve">PV*SOL</t>
  </si>
  <si>
    <t xml:space="preserve">PV system design and yield</t>
  </si>
  <si>
    <t xml:space="preserve">Check supported regional components</t>
  </si>
  <si>
    <t xml:space="preserve">HelioScope</t>
  </si>
  <si>
    <t xml:space="preserve">PV layout and production modelling</t>
  </si>
  <si>
    <t xml:space="preserve">Cloud workflow and project limits</t>
  </si>
  <si>
    <t xml:space="preserve">SAM</t>
  </si>
  <si>
    <t xml:space="preserve">Renewable energy performance and finance</t>
  </si>
  <si>
    <t xml:space="preserve">Not every technology has equal model depth</t>
  </si>
  <si>
    <t xml:space="preserve">windPRO</t>
  </si>
  <si>
    <t xml:space="preserve">Wind-project modelling workflow</t>
  </si>
  <si>
    <t xml:space="preserve">Specialist modules and data required</t>
  </si>
  <si>
    <t xml:space="preserve">WindFarmer</t>
  </si>
  <si>
    <t xml:space="preserve">Wind farm energy assessment</t>
  </si>
  <si>
    <t xml:space="preserve">Wake and resource assumptions dominate</t>
  </si>
  <si>
    <t xml:space="preserve">WAsP</t>
  </si>
  <si>
    <t xml:space="preserve">Wind resource modelling</t>
  </si>
  <si>
    <t xml:space="preserve">Terrain/model applicability matters</t>
  </si>
  <si>
    <t xml:space="preserve">RETScreen Expert</t>
  </si>
  <si>
    <t xml:space="preserve">M</t>
  </si>
  <si>
    <t xml:space="preserve">Energy project feasibility and management</t>
  </si>
  <si>
    <t xml:space="preserve">Access tiers differ; not an open engine</t>
  </si>
  <si>
    <t xml:space="preserve">PyPSA</t>
  </si>
  <si>
    <t xml:space="preserve">Energy-system optimization</t>
  </si>
  <si>
    <t xml:space="preserve">Planning library, not PV layout CAD</t>
  </si>
  <si>
    <t xml:space="preserve">Python with external numerical/optimization dependencies</t>
  </si>
  <si>
    <t xml:space="preserve">Project documentation</t>
  </si>
  <si>
    <t xml:space="preserve">N01</t>
  </si>
  <si>
    <t xml:space="preserve">Cadence PSpice</t>
  </si>
  <si>
    <t xml:space="preserve">Board-level analog/mixed-signal simulation</t>
  </si>
  <si>
    <t xml:space="preserve">Device model compatibility matters</t>
  </si>
  <si>
    <t xml:space="preserve">Hypothesis: C/C++ performance-sensitive engines; mixed scripting/UI</t>
  </si>
  <si>
    <t xml:space="preserve">HDLs, SPICE, Tcl or vendor DSLs depending on tool</t>
  </si>
  <si>
    <t xml:space="preserve">Cadence Spectre</t>
  </si>
  <si>
    <t xml:space="preserve">IC analog and RF simulation</t>
  </si>
  <si>
    <t xml:space="preserve">Foundry models and licenses needed</t>
  </si>
  <si>
    <t xml:space="preserve">HSPICE</t>
  </si>
  <si>
    <t xml:space="preserve">Transistor-level circuit simulation</t>
  </si>
  <si>
    <t xml:space="preserve">Large circuits can be expensive</t>
  </si>
  <si>
    <t xml:space="preserve">Siemens Eldo</t>
  </si>
  <si>
    <t xml:space="preserve">Analog and mixed-signal verification</t>
  </si>
  <si>
    <t xml:space="preserve">Check supported model formats</t>
  </si>
  <si>
    <t xml:space="preserve">Analog and switching circuits</t>
  </si>
  <si>
    <t xml:space="preserve">Different engines use different model assumptions</t>
  </si>
  <si>
    <t xml:space="preserve">NI Multisim</t>
  </si>
  <si>
    <t xml:space="preserve">Interactive circuit design and education</t>
  </si>
  <si>
    <t xml:space="preserve">Check current edition and deployment support</t>
  </si>
  <si>
    <t xml:space="preserve">Free SPICE circuit exploration</t>
  </si>
  <si>
    <t xml:space="preserve">Closed-source freeware</t>
  </si>
  <si>
    <t xml:space="preserve">Free mixed circuit simulation</t>
  </si>
  <si>
    <t xml:space="preserve">ngspice</t>
  </si>
  <si>
    <t xml:space="preserve">Embeddable open SPICE engine</t>
  </si>
  <si>
    <t xml:space="preserve">GUI and model curation are separate</t>
  </si>
  <si>
    <t xml:space="preserve">Public SPICE implementation; full language mix not audited here</t>
  </si>
  <si>
    <t xml:space="preserve">SPICE netlists and control language; C shared-library interface</t>
  </si>
  <si>
    <t xml:space="preserve">Official developer/interface documentation</t>
  </si>
  <si>
    <t xml:space="preserve">Xyce</t>
  </si>
  <si>
    <t xml:space="preserve">Parallel circuit simulation</t>
  </si>
  <si>
    <t xml:space="preserve">Not a full PCB design interface</t>
  </si>
  <si>
    <t xml:space="preserve">N02</t>
  </si>
  <si>
    <t xml:space="preserve">Altium Designer</t>
  </si>
  <si>
    <t xml:space="preserve">Integrated professional PCB workflow</t>
  </si>
  <si>
    <t xml:space="preserve">Subscription and library ecosystem</t>
  </si>
  <si>
    <t xml:space="preserve">Cadence Allegro X</t>
  </si>
  <si>
    <t xml:space="preserve">Complex PCB and package design</t>
  </si>
  <si>
    <t xml:space="preserve">Advanced setup and constraint management</t>
  </si>
  <si>
    <t xml:space="preserve">Cadence OrCAD X</t>
  </si>
  <si>
    <t xml:space="preserve">PCB design and simulation integration</t>
  </si>
  <si>
    <t xml:space="preserve">Different scope from full Allegro enterprise flow</t>
  </si>
  <si>
    <t xml:space="preserve">Siemens Xpedition</t>
  </si>
  <si>
    <t xml:space="preserve">Scalable enterprise PCB design</t>
  </si>
  <si>
    <t xml:space="preserve">Choose the correct product tier</t>
  </si>
  <si>
    <t xml:space="preserve">Zuken CR-8000</t>
  </si>
  <si>
    <t xml:space="preserve">System-centric PCB engineering</t>
  </si>
  <si>
    <t xml:space="preserve">Enterprise workflow complexity</t>
  </si>
  <si>
    <t xml:space="preserve">Zuken CADSTAR</t>
  </si>
  <si>
    <t xml:space="preserve">PCB design workflow</t>
  </si>
  <si>
    <t xml:space="preserve">Verify current support and migration path</t>
  </si>
  <si>
    <t xml:space="preserve">Autodesk Fusion Electronics</t>
  </si>
  <si>
    <t xml:space="preserve">Linked mechanical and electronics design</t>
  </si>
  <si>
    <t xml:space="preserve">Cloud and subscription dependencies</t>
  </si>
  <si>
    <t xml:space="preserve">Proteus Design Suite</t>
  </si>
  <si>
    <t xml:space="preserve">PCB plus embedded circuit simulation</t>
  </si>
  <si>
    <t xml:space="preserve">Simulation requires supported device models</t>
  </si>
  <si>
    <t xml:space="preserve">KiCad</t>
  </si>
  <si>
    <t xml:space="preserve">Open schematic and PCB design</t>
  </si>
  <si>
    <t xml:space="preserve">Enterprise library governance is separate</t>
  </si>
  <si>
    <t xml:space="preserve">C++ components; Python integration</t>
  </si>
  <si>
    <t xml:space="preserve">Python interfaces; schematic/PCB formats</t>
  </si>
  <si>
    <t xml:space="preserve">Direct public source documentation</t>
  </si>
  <si>
    <t xml:space="preserve">LibrePCB</t>
  </si>
  <si>
    <t xml:space="preserve">Open PCB design with structured libraries</t>
  </si>
  <si>
    <t xml:space="preserve">Smaller advanced-feature ecosystem</t>
  </si>
  <si>
    <t xml:space="preserve">N03</t>
  </si>
  <si>
    <t xml:space="preserve">Ansys HFSS</t>
  </si>
  <si>
    <t xml:space="preserve">3D high-frequency electromagnetics</t>
  </si>
  <si>
    <t xml:space="preserve">Mesh and port setup are demanding</t>
  </si>
  <si>
    <t xml:space="preserve">CST Studio Suite</t>
  </si>
  <si>
    <t xml:space="preserve">Multiple EM solution methods</t>
  </si>
  <si>
    <t xml:space="preserve">Solver selection matters</t>
  </si>
  <si>
    <t xml:space="preserve">Altair Feko</t>
  </si>
  <si>
    <t xml:space="preserve">Antennas and electromagnetic scattering</t>
  </si>
  <si>
    <t xml:space="preserve">Validate formulation for scale</t>
  </si>
  <si>
    <t xml:space="preserve">Keysight ADS</t>
  </si>
  <si>
    <t xml:space="preserve">RF circuits and EM co-design</t>
  </si>
  <si>
    <t xml:space="preserve">Not every task is a 3D field solve</t>
  </si>
  <si>
    <t xml:space="preserve">Keysight EMPro</t>
  </si>
  <si>
    <t xml:space="preserve">3D electromagnetic component design</t>
  </si>
  <si>
    <t xml:space="preserve">Licensing and solver configuration</t>
  </si>
  <si>
    <t xml:space="preserve">Cadence AWR Microwave Office</t>
  </si>
  <si>
    <t xml:space="preserve">Microwave circuit design</t>
  </si>
  <si>
    <t xml:space="preserve">EM analysis may use companion tools</t>
  </si>
  <si>
    <t xml:space="preserve">COMSOL RF Module</t>
  </si>
  <si>
    <t xml:space="preserve">RF within multiphysics models</t>
  </si>
  <si>
    <t xml:space="preserve">General modelling requires expertise</t>
  </si>
  <si>
    <t xml:space="preserve">Sonnet</t>
  </si>
  <si>
    <t xml:space="preserve">Planar high-frequency EM analysis</t>
  </si>
  <si>
    <t xml:space="preserve">Planar specialization is intentional</t>
  </si>
  <si>
    <t xml:space="preserve">Remcom XFdtd</t>
  </si>
  <si>
    <t xml:space="preserve">FDTD electromagnetic simulation</t>
  </si>
  <si>
    <t xml:space="preserve">Spatial and time discretization costs</t>
  </si>
  <si>
    <t xml:space="preserve">openEMS</t>
  </si>
  <si>
    <t xml:space="preserve">Open FDTD EM solver</t>
  </si>
  <si>
    <t xml:space="preserve">Model creation and UI need work</t>
  </si>
  <si>
    <t xml:space="preserve">N04</t>
  </si>
  <si>
    <t xml:space="preserve">MATLAB Signal Processing Toolbox</t>
  </si>
  <si>
    <t xml:space="preserve">Signal analysis and filter design</t>
  </si>
  <si>
    <t xml:space="preserve">MATLAB required</t>
  </si>
  <si>
    <t xml:space="preserve">MATLAB Communications Toolbox</t>
  </si>
  <si>
    <t xml:space="preserve">Communication-system modelling</t>
  </si>
  <si>
    <t xml:space="preserve">Standards add-ons may be separate</t>
  </si>
  <si>
    <t xml:space="preserve">Simulink DSP System Toolbox</t>
  </si>
  <si>
    <t xml:space="preserve">Streaming DSP and implementation</t>
  </si>
  <si>
    <t xml:space="preserve">Deployment features require more products</t>
  </si>
  <si>
    <t xml:space="preserve">Keysight SystemVue</t>
  </si>
  <si>
    <t xml:space="preserve">RF communication system design</t>
  </si>
  <si>
    <t xml:space="preserve">Specialized libraries and modules</t>
  </si>
  <si>
    <t xml:space="preserve">Measurement and streaming signal workflows</t>
  </si>
  <si>
    <t xml:space="preserve">Hardware drivers and editions matter</t>
  </si>
  <si>
    <t xml:space="preserve">GNU Radio</t>
  </si>
  <si>
    <t xml:space="preserve">SDR and streaming signal processing</t>
  </si>
  <si>
    <t xml:space="preserve">Hardware and block compatibility</t>
  </si>
  <si>
    <t xml:space="preserve">Scilab</t>
  </si>
  <si>
    <t xml:space="preserve">Numerical signal-processing studies</t>
  </si>
  <si>
    <t xml:space="preserve">Smaller specialist toolbox ecosystem</t>
  </si>
  <si>
    <t xml:space="preserve">GNU Octave signal package</t>
  </si>
  <si>
    <t xml:space="preserve">MATLAB-like signal analysis</t>
  </si>
  <si>
    <t xml:space="preserve">Compatibility is partial</t>
  </si>
  <si>
    <t xml:space="preserve">SciPy signal</t>
  </si>
  <si>
    <t xml:space="preserve">Python signal algorithms</t>
  </si>
  <si>
    <t xml:space="preserve">Library, not a turnkey instrument UI</t>
  </si>
  <si>
    <t xml:space="preserve">JuliaDSP</t>
  </si>
  <si>
    <t xml:space="preserve">Julia signal processing</t>
  </si>
  <si>
    <t xml:space="preserve">Smaller commercial integration ecosystem</t>
  </si>
  <si>
    <t xml:space="preserve">N05</t>
  </si>
  <si>
    <t xml:space="preserve">Arm Keil MDK</t>
  </si>
  <si>
    <t xml:space="preserve">Arm microcontroller development</t>
  </si>
  <si>
    <t xml:space="preserve">Device and compiler licensing</t>
  </si>
  <si>
    <t xml:space="preserve">IAR Embedded Workbench</t>
  </si>
  <si>
    <t xml:space="preserve">Embedded compilation and debugging</t>
  </si>
  <si>
    <t xml:space="preserve">Target-specific packages</t>
  </si>
  <si>
    <t xml:space="preserve">TASKING toolsets</t>
  </si>
  <si>
    <t xml:space="preserve">Automotive and embedded toolchains</t>
  </si>
  <si>
    <t xml:space="preserve">Architecture-specific scope</t>
  </si>
  <si>
    <t xml:space="preserve">SEGGER Embedded Studio</t>
  </si>
  <si>
    <t xml:space="preserve">Embedded C/C++ development</t>
  </si>
  <si>
    <t xml:space="preserve">Commercial and free-use terms differ</t>
  </si>
  <si>
    <t xml:space="preserve">STM32CubeIDE</t>
  </si>
  <si>
    <t xml:space="preserve">STM32 firmware development</t>
  </si>
  <si>
    <t xml:space="preserve">Bundled components have different licenses</t>
  </si>
  <si>
    <t xml:space="preserve">MPLAB X IDE</t>
  </si>
  <si>
    <t xml:space="preserve">Microchip development</t>
  </si>
  <si>
    <t xml:space="preserve">Compiler features/licensing are separate</t>
  </si>
  <si>
    <t xml:space="preserve">Code Composer Studio</t>
  </si>
  <si>
    <t xml:space="preserve">Texas Instruments targets</t>
  </si>
  <si>
    <t xml:space="preserve">Target ecosystem dependence</t>
  </si>
  <si>
    <t xml:space="preserve">MCUXpresso IDE</t>
  </si>
  <si>
    <t xml:space="preserve">NXP microcontrollers</t>
  </si>
  <si>
    <t xml:space="preserve">Edition and component license differences</t>
  </si>
  <si>
    <t xml:space="preserve">PlatformIO Core</t>
  </si>
  <si>
    <t xml:space="preserve">Multi-board reproducible development</t>
  </si>
  <si>
    <t xml:space="preserve">Core openness does not cover all vendor SDKs</t>
  </si>
  <si>
    <t xml:space="preserve">Renode</t>
  </si>
  <si>
    <t xml:space="preserve">Embedded-system simulation</t>
  </si>
  <si>
    <t xml:space="preserve">Only supported models reproduce peripherals</t>
  </si>
  <si>
    <t xml:space="preserve">N06</t>
  </si>
  <si>
    <t xml:space="preserve">AMD Vivado</t>
  </si>
  <si>
    <t xml:space="preserve">AMD FPGA design implementation</t>
  </si>
  <si>
    <t xml:space="preserve">Free and paid tiers differ</t>
  </si>
  <si>
    <t xml:space="preserve">Altera Quartus Prime</t>
  </si>
  <si>
    <t xml:space="preserve">Altera FPGA design implementation</t>
  </si>
  <si>
    <t xml:space="preserve">Device support varies by edition</t>
  </si>
  <si>
    <t xml:space="preserve">Microchip Libero SoC</t>
  </si>
  <si>
    <t xml:space="preserve">Microchip FPGA and SoC flow</t>
  </si>
  <si>
    <t xml:space="preserve">Device and IP licensing</t>
  </si>
  <si>
    <t xml:space="preserve">Lattice Radiant</t>
  </si>
  <si>
    <t xml:space="preserve">Lattice FPGA implementation</t>
  </si>
  <si>
    <t xml:space="preserve">Family and license coverage</t>
  </si>
  <si>
    <t xml:space="preserve">Siemens Questa</t>
  </si>
  <si>
    <t xml:space="preserve">Digital simulation and verification</t>
  </si>
  <si>
    <t xml:space="preserve">Different verification products and tiers</t>
  </si>
  <si>
    <t xml:space="preserve">Cadence Xcelium</t>
  </si>
  <si>
    <t xml:space="preserve">RTL and mixed-signal verification</t>
  </si>
  <si>
    <t xml:space="preserve">Not a complete FPGA place-and-route flow</t>
  </si>
  <si>
    <t xml:space="preserve">Synopsys VCS</t>
  </si>
  <si>
    <t xml:space="preserve">SystemVerilog simulation</t>
  </si>
  <si>
    <t xml:space="preserve">Licensing and verification setup</t>
  </si>
  <si>
    <t xml:space="preserve">Yosys with nextpnr</t>
  </si>
  <si>
    <t xml:space="preserve">Open synthesis and supported FPGA implementation</t>
  </si>
  <si>
    <t xml:space="preserve">Device coverage is limited</t>
  </si>
  <si>
    <t xml:space="preserve">Verilator</t>
  </si>
  <si>
    <t xml:space="preserve">Compiled Verilog/SystemVerilog simulation</t>
  </si>
  <si>
    <t xml:space="preserve">Semantics/features differ from event simulators</t>
  </si>
  <si>
    <t xml:space="preserve">GHDL</t>
  </si>
  <si>
    <t xml:space="preserve">VHDL simulation</t>
  </si>
  <si>
    <t xml:space="preserve">Not a universal FPGA implementation suite</t>
  </si>
  <si>
    <t xml:space="preserve">Ada and C</t>
  </si>
  <si>
    <t xml:space="preserve">VHDL</t>
  </si>
  <si>
    <t xml:space="preserve">Official repository and build documentation</t>
  </si>
  <si>
    <t xml:space="preserve">N07</t>
  </si>
  <si>
    <t xml:space="preserve">Cadence Virtuoso Studio</t>
  </si>
  <si>
    <t xml:space="preserve">Custom analog IC design</t>
  </si>
  <si>
    <t xml:space="preserve">Foundry PDK access required</t>
  </si>
  <si>
    <t xml:space="preserve">Synopsys Custom Compiler</t>
  </si>
  <si>
    <t xml:space="preserve">Custom IC layout and design</t>
  </si>
  <si>
    <t xml:space="preserve">PDK and ecosystem dependency</t>
  </si>
  <si>
    <t xml:space="preserve">Cadence Innovus</t>
  </si>
  <si>
    <t xml:space="preserve">Digital physical implementation</t>
  </si>
  <si>
    <t xml:space="preserve">Not standalone foundry signoff</t>
  </si>
  <si>
    <t xml:space="preserve">Synopsys Fusion Compiler</t>
  </si>
  <si>
    <t xml:space="preserve">Digital synthesis and physical design</t>
  </si>
  <si>
    <t xml:space="preserve">Complex licensed flow</t>
  </si>
  <si>
    <t xml:space="preserve">Synopsys PrimeTime</t>
  </si>
  <si>
    <t xml:space="preserve">Timing signoff</t>
  </si>
  <si>
    <t xml:space="preserve">Companion stage, not full design suite</t>
  </si>
  <si>
    <t xml:space="preserve">Siemens Calibre</t>
  </si>
  <si>
    <t xml:space="preserve">Physical verification and extraction</t>
  </si>
  <si>
    <t xml:space="preserve">Qualified rule decks are essential</t>
  </si>
  <si>
    <t xml:space="preserve">Cadence Pegasus</t>
  </si>
  <si>
    <t xml:space="preserve">Physical verification</t>
  </si>
  <si>
    <t xml:space="preserve">Requires appropriate foundry decks</t>
  </si>
  <si>
    <t xml:space="preserve">OpenROAD</t>
  </si>
  <si>
    <t xml:space="preserve">Open digital physical implementation</t>
  </si>
  <si>
    <t xml:space="preserve">Supported PDK and signoff limitations</t>
  </si>
  <si>
    <t xml:space="preserve">KLayout</t>
  </si>
  <si>
    <t xml:space="preserve">Layout editing and verification scripting</t>
  </si>
  <si>
    <t xml:space="preserve">Not the complete ASIC flow</t>
  </si>
  <si>
    <t xml:space="preserve">Magic</t>
  </si>
  <si>
    <t xml:space="preserve">Open IC layout and extraction</t>
  </si>
  <si>
    <t xml:space="preserve">Process coverage and workflow limitations</t>
  </si>
  <si>
    <t xml:space="preserve">N08</t>
  </si>
  <si>
    <t xml:space="preserve">Ansys Maxwell</t>
  </si>
  <si>
    <t xml:space="preserve">Low-frequency electromagnetic FEA</t>
  </si>
  <si>
    <t xml:space="preserve">Geometry and material fidelity matter</t>
  </si>
  <si>
    <t xml:space="preserve">Ansys Motor-CAD</t>
  </si>
  <si>
    <t xml:space="preserve">Motor multiphysics design</t>
  </si>
  <si>
    <t xml:space="preserve">Template families bound design freedom</t>
  </si>
  <si>
    <t xml:space="preserve">JMAG-Designer</t>
  </si>
  <si>
    <t xml:space="preserve">Electrical machine and magnetics FEA</t>
  </si>
  <si>
    <t xml:space="preserve">Specialist setup and material data</t>
  </si>
  <si>
    <t xml:space="preserve">Altair Flux</t>
  </si>
  <si>
    <t xml:space="preserve">Low-frequency electromagnetic simulation</t>
  </si>
  <si>
    <t xml:space="preserve">Solver/module choices</t>
  </si>
  <si>
    <t xml:space="preserve">SIMULIA Opera</t>
  </si>
  <si>
    <t xml:space="preserve">Electromagnetic machine modelling</t>
  </si>
  <si>
    <t xml:space="preserve">Check application-specific modules</t>
  </si>
  <si>
    <t xml:space="preserve">Simcenter MAGNET</t>
  </si>
  <si>
    <t xml:space="preserve">Electromagnetic device simulation</t>
  </si>
  <si>
    <t xml:space="preserve">Detailed loss modelling needs validation</t>
  </si>
  <si>
    <t xml:space="preserve">COMSOL AC/DC Module</t>
  </si>
  <si>
    <t xml:space="preserve">Magnetics coupled to other physics</t>
  </si>
  <si>
    <t xml:space="preserve">General-purpose model setup</t>
  </si>
  <si>
    <t xml:space="preserve">Simcenter SPEED</t>
  </si>
  <si>
    <t xml:space="preserve">Motor design calculations</t>
  </si>
  <si>
    <t xml:space="preserve">Analytical/template assumptions</t>
  </si>
  <si>
    <t xml:space="preserve">FEMM</t>
  </si>
  <si>
    <t xml:space="preserve">2D/axisymmetric magnetics and related fields</t>
  </si>
  <si>
    <t xml:space="preserve">Not a general 3D solver</t>
  </si>
  <si>
    <t xml:space="preserve">Pyleecan</t>
  </si>
  <si>
    <t xml:space="preserve">Open electrical machine analysis framework</t>
  </si>
  <si>
    <t xml:space="preserve">Depends on available solver integrations</t>
  </si>
  <si>
    <t xml:space="preserve">M01</t>
  </si>
  <si>
    <t xml:space="preserve">SOLIDWORKS</t>
  </si>
  <si>
    <t xml:space="preserve">Mechanical parts and assemblies</t>
  </si>
  <si>
    <t xml:space="preserve">Add-ons and data-management scope vary</t>
  </si>
  <si>
    <t xml:space="preserve">CATIA</t>
  </si>
  <si>
    <t xml:space="preserve">Complex product and surface design</t>
  </si>
  <si>
    <t xml:space="preserve">Large ecosystem and learning burden</t>
  </si>
  <si>
    <t xml:space="preserve">Siemens NX</t>
  </si>
  <si>
    <t xml:space="preserve">Integrated advanced CAD/CAM/CAE</t>
  </si>
  <si>
    <t xml:space="preserve">Module and workflow complexity</t>
  </si>
  <si>
    <t xml:space="preserve">PTC Creo</t>
  </si>
  <si>
    <t xml:space="preserve">Parametric product development</t>
  </si>
  <si>
    <t xml:space="preserve">Extensions and interoperability need review</t>
  </si>
  <si>
    <t xml:space="preserve">Autodesk Inventor</t>
  </si>
  <si>
    <t xml:space="preserve">Mechanical design and drawings</t>
  </si>
  <si>
    <t xml:space="preserve">Product data workflow is separate</t>
  </si>
  <si>
    <t xml:space="preserve">Autodesk Fusion</t>
  </si>
  <si>
    <t xml:space="preserve">Integrated CAD/CAM workflow</t>
  </si>
  <si>
    <t xml:space="preserve">Free-use restrictions and cloud dependence</t>
  </si>
  <si>
    <t xml:space="preserve">Solid Edge</t>
  </si>
  <si>
    <t xml:space="preserve">Mechanical modelling and drafting</t>
  </si>
  <si>
    <t xml:space="preserve">Edition-dependent capabilities</t>
  </si>
  <si>
    <t xml:space="preserve">Onshape</t>
  </si>
  <si>
    <t xml:space="preserve">Cloud-native collaborative CAD</t>
  </si>
  <si>
    <t xml:space="preserve">Free plan is not open-source software</t>
  </si>
  <si>
    <t xml:space="preserve">FreeCAD</t>
  </si>
  <si>
    <t xml:space="preserve">Open parametric mechanical CAD</t>
  </si>
  <si>
    <t xml:space="preserve">Workflow robustness varies by workbench</t>
  </si>
  <si>
    <t xml:space="preserve">C++ and Python</t>
  </si>
  <si>
    <t xml:space="preserve">Rhino</t>
  </si>
  <si>
    <t xml:space="preserve">Freeform and NURBS modelling</t>
  </si>
  <si>
    <t xml:space="preserve">Assembly/engineering features need additions</t>
  </si>
  <si>
    <t xml:space="preserve">M02</t>
  </si>
  <si>
    <t xml:space="preserve">Ansys Mechanical</t>
  </si>
  <si>
    <t xml:space="preserve">General structural finite elements</t>
  </si>
  <si>
    <t xml:space="preserve">Nonlinear setup and licenses vary</t>
  </si>
  <si>
    <t xml:space="preserve">SIMULIA Abaqus</t>
  </si>
  <si>
    <t xml:space="preserve">Nonlinear mechanics and contact</t>
  </si>
  <si>
    <t xml:space="preserve">Material and convergence expertise required</t>
  </si>
  <si>
    <t xml:space="preserve">Closed core; C/C++/Fortran are plausible solver languages</t>
  </si>
  <si>
    <t xml:space="preserve">Python scripting; C/C++/Fortran user subroutines</t>
  </si>
  <si>
    <t xml:space="preserve">Documented interfaces; core hypothesis</t>
  </si>
  <si>
    <t xml:space="preserve">Simcenter Nastran</t>
  </si>
  <si>
    <t xml:space="preserve">Structural and dynamic analysis</t>
  </si>
  <si>
    <t xml:space="preserve">Capabilities depend on solver package</t>
  </si>
  <si>
    <t xml:space="preserve">MSC Nastran</t>
  </si>
  <si>
    <t xml:space="preserve">Structural dynamics and aerospace workflows</t>
  </si>
  <si>
    <t xml:space="preserve">Not identical to other Nastran variants</t>
  </si>
  <si>
    <t xml:space="preserve">Altair OptiStruct</t>
  </si>
  <si>
    <t xml:space="preserve">Structural analysis and optimization</t>
  </si>
  <si>
    <t xml:space="preserve">Optimization assumptions need validation</t>
  </si>
  <si>
    <t xml:space="preserve">LS-DYNA</t>
  </si>
  <si>
    <t xml:space="preserve">Explicit nonlinear dynamics and crash</t>
  </si>
  <si>
    <t xml:space="preserve">Very small time steps can be costly</t>
  </si>
  <si>
    <t xml:space="preserve">COMSOL Structural Mechanics Module</t>
  </si>
  <si>
    <t xml:space="preserve">Structures with multiphysics coupling</t>
  </si>
  <si>
    <t xml:space="preserve">General modelling effort</t>
  </si>
  <si>
    <t xml:space="preserve">SOLIDWORKS Simulation</t>
  </si>
  <si>
    <t xml:space="preserve">CAD-integrated structural studies</t>
  </si>
  <si>
    <t xml:space="preserve">Edition and model scope matter</t>
  </si>
  <si>
    <t xml:space="preserve">CalculiX</t>
  </si>
  <si>
    <t xml:space="preserve">Open finite-element analysis</t>
  </si>
  <si>
    <t xml:space="preserve">Pre/post-processing and robustness work</t>
  </si>
  <si>
    <t xml:space="preserve">Code_Aster</t>
  </si>
  <si>
    <t xml:space="preserve">Broad open structural mechanics</t>
  </si>
  <si>
    <t xml:space="preserve">Substantial learning and setup burden</t>
  </si>
  <si>
    <t xml:space="preserve">M03</t>
  </si>
  <si>
    <t xml:space="preserve">Ansys Fluent</t>
  </si>
  <si>
    <t xml:space="preserve">Broad industrial CFD</t>
  </si>
  <si>
    <t xml:space="preserve">Turbulence and multiphase models need judgment</t>
  </si>
  <si>
    <t xml:space="preserve">Closed core; C/C++ is a plausible native-core hypothesis</t>
  </si>
  <si>
    <t xml:space="preserve">C/C++ UDFs</t>
  </si>
  <si>
    <t xml:space="preserve">Documented interface; core hypothesis</t>
  </si>
  <si>
    <t xml:space="preserve">Simcenter STAR-CCM+</t>
  </si>
  <si>
    <t xml:space="preserve">Integrated CFD workflow and automation</t>
  </si>
  <si>
    <t xml:space="preserve">Compute and model complexity</t>
  </si>
  <si>
    <t xml:space="preserve">Ansys CFX</t>
  </si>
  <si>
    <t xml:space="preserve">Rotating machinery and fluid simulation</t>
  </si>
  <si>
    <t xml:space="preserve">Specialist workflow focus</t>
  </si>
  <si>
    <t xml:space="preserve">Cadence Fidelity</t>
  </si>
  <si>
    <t xml:space="preserve">CFD portfolio and meshing</t>
  </si>
  <si>
    <t xml:space="preserve">Choose the specific product/solver</t>
  </si>
  <si>
    <t xml:space="preserve">COMSOL CFD Module</t>
  </si>
  <si>
    <t xml:space="preserve">Flow coupled to other fields</t>
  </si>
  <si>
    <t xml:space="preserve">Not identical to specialist CFD packages</t>
  </si>
  <si>
    <t xml:space="preserve">Altair AcuSolve</t>
  </si>
  <si>
    <t xml:space="preserve">Finite-element-based CFD</t>
  </si>
  <si>
    <t xml:space="preserve">Solver-specific modelling choices</t>
  </si>
  <si>
    <t xml:space="preserve">SimScale</t>
  </si>
  <si>
    <t xml:space="preserve">Browser-based engineering simulation</t>
  </si>
  <si>
    <t xml:space="preserve">Hosted access does not imply open platform</t>
  </si>
  <si>
    <t xml:space="preserve">OpenFOAM</t>
  </si>
  <si>
    <t xml:space="preserve">Open finite-volume CFD platform</t>
  </si>
  <si>
    <t xml:space="preserve">Distribution choice and setup matter</t>
  </si>
  <si>
    <t xml:space="preserve">C++</t>
  </si>
  <si>
    <t xml:space="preserve">C++ extensions; case dictionaries</t>
  </si>
  <si>
    <t xml:space="preserve">SU2</t>
  </si>
  <si>
    <t xml:space="preserve">Aerodynamics and design optimization</t>
  </si>
  <si>
    <t xml:space="preserve">Application scope differs from general CFD</t>
  </si>
  <si>
    <t xml:space="preserve">Code_Saturne</t>
  </si>
  <si>
    <t xml:space="preserve">General-purpose open CFD</t>
  </si>
  <si>
    <t xml:space="preserve">UI and workflows need specialist knowledge</t>
  </si>
  <si>
    <t xml:space="preserve">M04</t>
  </si>
  <si>
    <t xml:space="preserve">IES Virtual Environment</t>
  </si>
  <si>
    <t xml:space="preserve">Building energy and performance analysis</t>
  </si>
  <si>
    <t xml:space="preserve">Calibration and occupancy assumptions</t>
  </si>
  <si>
    <t xml:space="preserve">DesignBuilder</t>
  </si>
  <si>
    <t xml:space="preserve">Building simulation front end</t>
  </si>
  <si>
    <t xml:space="preserve">Commercial interface can use open engines</t>
  </si>
  <si>
    <t xml:space="preserve">Trane TRACE 3D Plus</t>
  </si>
  <si>
    <t xml:space="preserve">HVAC loads and energy modelling</t>
  </si>
  <si>
    <t xml:space="preserve">Equipment and regional method scope</t>
  </si>
  <si>
    <t xml:space="preserve">Carrier HAP</t>
  </si>
  <si>
    <t xml:space="preserve">HVAC sizing and energy studies</t>
  </si>
  <si>
    <t xml:space="preserve">Load assumptions require careful input</t>
  </si>
  <si>
    <t xml:space="preserve">EnergyPlus</t>
  </si>
  <si>
    <t xml:space="preserve">Whole-building energy simulation engine</t>
  </si>
  <si>
    <t xml:space="preserve">Not a complete graphical design system</t>
  </si>
  <si>
    <t xml:space="preserve">Public source; native simulation engine</t>
  </si>
  <si>
    <t xml:space="preserve">Input models; C/Python APIs</t>
  </si>
  <si>
    <t xml:space="preserve">Official project repository</t>
  </si>
  <si>
    <t xml:space="preserve">OpenStudio</t>
  </si>
  <si>
    <t xml:space="preserve">Building-energy modelling workflow</t>
  </si>
  <si>
    <t xml:space="preserve">Engine and SDK version compatibility</t>
  </si>
  <si>
    <t xml:space="preserve">TRNSYS</t>
  </si>
  <si>
    <t xml:space="preserve">Transient thermal and energy systems</t>
  </si>
  <si>
    <t xml:space="preserve">Source access is not an unrestricted license</t>
  </si>
  <si>
    <t xml:space="preserve">Ansys Icepak</t>
  </si>
  <si>
    <t xml:space="preserve">Electronics thermal management</t>
  </si>
  <si>
    <t xml:space="preserve">Different scale from HVAC building loads</t>
  </si>
  <si>
    <t xml:space="preserve">Simcenter Flotherm</t>
  </si>
  <si>
    <t xml:space="preserve">Electronics cooling</t>
  </si>
  <si>
    <t xml:space="preserve">Package and board representation assumptions</t>
  </si>
  <si>
    <t xml:space="preserve">COMSOL Heat Transfer Module</t>
  </si>
  <si>
    <t xml:space="preserve">General coupled heat-transfer analysis</t>
  </si>
  <si>
    <t xml:space="preserve">Build domain-specific workflow yourself</t>
  </si>
  <si>
    <t xml:space="preserve">M05</t>
  </si>
  <si>
    <t xml:space="preserve">MSC Adams</t>
  </si>
  <si>
    <t xml:space="preserve">Mechanical multibody systems</t>
  </si>
  <si>
    <t xml:space="preserve">Contact and flexible body setup</t>
  </si>
  <si>
    <t xml:space="preserve">SIMULIA Simpack</t>
  </si>
  <si>
    <t xml:space="preserve">Rail, vehicle and machinery dynamics</t>
  </si>
  <si>
    <t xml:space="preserve">Specialized component models</t>
  </si>
  <si>
    <t xml:space="preserve">Simcenter 3D Motion</t>
  </si>
  <si>
    <t xml:space="preserve">Motion in CAE workflows</t>
  </si>
  <si>
    <t xml:space="preserve">Product and solver licensing</t>
  </si>
  <si>
    <t xml:space="preserve">Altair MotionSolve</t>
  </si>
  <si>
    <t xml:space="preserve">Multibody and coupled simulation</t>
  </si>
  <si>
    <t xml:space="preserve">Model and contact calibration</t>
  </si>
  <si>
    <t xml:space="preserve">RecurDyn</t>
  </si>
  <si>
    <t xml:space="preserve">Flexible multibody dynamics</t>
  </si>
  <si>
    <t xml:space="preserve">Specialist modules vary</t>
  </si>
  <si>
    <t xml:space="preserve">Simscape Multibody</t>
  </si>
  <si>
    <t xml:space="preserve">Mechanisms integrated with controls</t>
  </si>
  <si>
    <t xml:space="preserve">Requires related MathWorks products</t>
  </si>
  <si>
    <t xml:space="preserve">SOLIDWORKS Motion</t>
  </si>
  <si>
    <t xml:space="preserve">CAD-integrated mechanism simulation</t>
  </si>
  <si>
    <t xml:space="preserve">Not full parity with specialist MBD</t>
  </si>
  <si>
    <t xml:space="preserve">Equation-based system dynamics</t>
  </si>
  <si>
    <t xml:space="preserve">Specialized libraries vary</t>
  </si>
  <si>
    <t xml:space="preserve">Project Chrono</t>
  </si>
  <si>
    <t xml:space="preserve">Open dynamics and contact engine</t>
  </si>
  <si>
    <t xml:space="preserve">Application interface must be assembled</t>
  </si>
  <si>
    <t xml:space="preserve">C++; Python bindings</t>
  </si>
  <si>
    <t xml:space="preserve">Official implementation statement</t>
  </si>
  <si>
    <t xml:space="preserve">MBDyn</t>
  </si>
  <si>
    <t xml:space="preserve">Open multibody dynamics</t>
  </si>
  <si>
    <t xml:space="preserve">Input workflow is technical</t>
  </si>
  <si>
    <t xml:space="preserve">M06</t>
  </si>
  <si>
    <t xml:space="preserve">Mastercam</t>
  </si>
  <si>
    <t xml:space="preserve">CNC programming</t>
  </si>
  <si>
    <t xml:space="preserve">Postprocessor and machine setup matter</t>
  </si>
  <si>
    <t xml:space="preserve">Siemens NX CAM</t>
  </si>
  <si>
    <t xml:space="preserve">Advanced integrated manufacturing</t>
  </si>
  <si>
    <t xml:space="preserve">Modules and machine libraries</t>
  </si>
  <si>
    <t xml:space="preserve">Autodesk Fusion Manufacturing</t>
  </si>
  <si>
    <t xml:space="preserve">CAD-to-CAM workflow</t>
  </si>
  <si>
    <t xml:space="preserve">Advanced capabilities may be extensions</t>
  </si>
  <si>
    <t xml:space="preserve">Autodesk PowerMill</t>
  </si>
  <si>
    <t xml:space="preserve">Complex CNC toolpaths</t>
  </si>
  <si>
    <t xml:space="preserve">Specialist machining focus</t>
  </si>
  <si>
    <t xml:space="preserve">hyperMILL</t>
  </si>
  <si>
    <t xml:space="preserve">Advanced multi-axis CAM</t>
  </si>
  <si>
    <t xml:space="preserve">Machine-specific postprocessing</t>
  </si>
  <si>
    <t xml:space="preserve">VERICUT</t>
  </si>
  <si>
    <t xml:space="preserve">NC verification and machine simulation</t>
  </si>
  <si>
    <t xml:space="preserve">Verification companion, not full CAM authoring</t>
  </si>
  <si>
    <t xml:space="preserve">Autodesk Moldflow</t>
  </si>
  <si>
    <t xml:space="preserve">Injection molding simulation</t>
  </si>
  <si>
    <t xml:space="preserve">Material database and process calibration</t>
  </si>
  <si>
    <t xml:space="preserve">DEFORM</t>
  </si>
  <si>
    <t xml:space="preserve">Metal forming process simulation</t>
  </si>
  <si>
    <t xml:space="preserve">Specialist process scope</t>
  </si>
  <si>
    <t xml:space="preserve">Simufact</t>
  </si>
  <si>
    <t xml:space="preserve">Manufacturing process simulation</t>
  </si>
  <si>
    <t xml:space="preserve">Products cover different processes</t>
  </si>
  <si>
    <t xml:space="preserve">FreeCAD CAM</t>
  </si>
  <si>
    <t xml:space="preserve">Open CAM within parametric CAD</t>
  </si>
  <si>
    <t xml:space="preserve">Advanced machines need extensive validation</t>
  </si>
  <si>
    <t xml:space="preserve">M07</t>
  </si>
  <si>
    <t xml:space="preserve">Fathom (AFT/Datacor)</t>
  </si>
  <si>
    <t xml:space="preserve">Steady incompressible flow networks</t>
  </si>
  <si>
    <t xml:space="preserve">Not the transient surge product</t>
  </si>
  <si>
    <t xml:space="preserve">Arrow (AFT/Datacor)</t>
  </si>
  <si>
    <t xml:space="preserve">Compressible flow networks</t>
  </si>
  <si>
    <t xml:space="preserve">Check gas and heat-transfer assumptions</t>
  </si>
  <si>
    <t xml:space="preserve">Impulse (AFT/Datacor)</t>
  </si>
  <si>
    <t xml:space="preserve">Liquid surge and water hammer</t>
  </si>
  <si>
    <t xml:space="preserve">Valve and pump transient data matter</t>
  </si>
  <si>
    <t xml:space="preserve">Pipe Flow Expert</t>
  </si>
  <si>
    <t xml:space="preserve">Pipe network calculations</t>
  </si>
  <si>
    <t xml:space="preserve">Check supported fluid and transient scope</t>
  </si>
  <si>
    <t xml:space="preserve">PIPE-FLO</t>
  </si>
  <si>
    <t xml:space="preserve">Fluid system modelling</t>
  </si>
  <si>
    <t xml:space="preserve">Edition and scenario capabilities</t>
  </si>
  <si>
    <t xml:space="preserve">PIPENET</t>
  </si>
  <si>
    <t xml:space="preserve">Fluid networks and firewater analysis</t>
  </si>
  <si>
    <t xml:space="preserve">Modules answer different study types</t>
  </si>
  <si>
    <t xml:space="preserve">Simcenter Flomaster</t>
  </si>
  <si>
    <t xml:space="preserve">Thermofluid system simulation</t>
  </si>
  <si>
    <t xml:space="preserve">Component calibration required</t>
  </si>
  <si>
    <t xml:space="preserve">Hydraulic and coupled system dynamics</t>
  </si>
  <si>
    <t xml:space="preserve">Component libraries and licenses</t>
  </si>
  <si>
    <t xml:space="preserve">GT-SUITE</t>
  </si>
  <si>
    <t xml:space="preserve">Integrated 1D thermofluid systems</t>
  </si>
  <si>
    <t xml:space="preserve">Model fidelity is configurable</t>
  </si>
  <si>
    <t xml:space="preserve">EPANET</t>
  </si>
  <si>
    <t xml:space="preserve">Water distribution hydraulics</t>
  </si>
  <si>
    <t xml:space="preserve">Not general compressible/multiphase piping</t>
  </si>
  <si>
    <t xml:space="preserve">C engine</t>
  </si>
  <si>
    <t xml:space="preserve">Network input files; C toolkit and wrappers</t>
  </si>
  <si>
    <t xml:space="preserve">Official source repository</t>
  </si>
  <si>
    <t xml:space="preserve">M08</t>
  </si>
  <si>
    <t xml:space="preserve">Ansys nCode DesignLife</t>
  </si>
  <si>
    <t xml:space="preserve">FE-based fatigue assessment</t>
  </si>
  <si>
    <t xml:space="preserve">Material and load-history quality</t>
  </si>
  <si>
    <t xml:space="preserve">SIMULIA fe-safe</t>
  </si>
  <si>
    <t xml:space="preserve">Multiaxial fatigue postprocessing</t>
  </si>
  <si>
    <t xml:space="preserve">Requires reliable stress/strain inputs</t>
  </si>
  <si>
    <t xml:space="preserve">Altair HyperLife</t>
  </si>
  <si>
    <t xml:space="preserve">Durability workflows</t>
  </si>
  <si>
    <t xml:space="preserve">Modules and material coverage</t>
  </si>
  <si>
    <t xml:space="preserve">MSC Fatigue</t>
  </si>
  <si>
    <t xml:space="preserve">Fatigue assessment</t>
  </si>
  <si>
    <t xml:space="preserve">Check current product support and licensing</t>
  </si>
  <si>
    <t xml:space="preserve">FEMFAT</t>
  </si>
  <si>
    <t xml:space="preserve">Industrial fatigue evaluation</t>
  </si>
  <si>
    <t xml:space="preserve">Method and material calibration</t>
  </si>
  <si>
    <t xml:space="preserve">FRANC3D</t>
  </si>
  <si>
    <t xml:space="preserve">3D crack-growth modelling</t>
  </si>
  <si>
    <t xml:space="preserve">Companion FE workflow</t>
  </si>
  <si>
    <t xml:space="preserve">NASGRO</t>
  </si>
  <si>
    <t xml:space="preserve">Fracture and fatigue crack growth</t>
  </si>
  <si>
    <t xml:space="preserve">Access and material database terms</t>
  </si>
  <si>
    <t xml:space="preserve">Ansys Mechanical fatigue tools</t>
  </si>
  <si>
    <t xml:space="preserve">Integrated baseline fatigue studies</t>
  </si>
  <si>
    <t xml:space="preserve">Not equivalent to full DesignLife</t>
  </si>
  <si>
    <t xml:space="preserve">Open structural and damage modelling</t>
  </si>
  <si>
    <t xml:space="preserve">Complex workflow and material calibration</t>
  </si>
  <si>
    <t xml:space="preserve">pyLife</t>
  </si>
  <si>
    <t xml:space="preserve">Python reliability and fatigue analysis</t>
  </si>
  <si>
    <t xml:space="preserve">Framework rather than complete FE suite</t>
  </si>
  <si>
    <t xml:space="preserve">C01</t>
  </si>
  <si>
    <t xml:space="preserve">ETABS</t>
  </si>
  <si>
    <t xml:space="preserve">Multi-storey building analysis</t>
  </si>
  <si>
    <t xml:space="preserve">Building idealizations require judgment</t>
  </si>
  <si>
    <t xml:space="preserve">SAP2000</t>
  </si>
  <si>
    <t xml:space="preserve">General structural analysis</t>
  </si>
  <si>
    <t xml:space="preserve">Design codes and modules vary</t>
  </si>
  <si>
    <t xml:space="preserve">STAAD.Pro</t>
  </si>
  <si>
    <t xml:space="preserve">Structural analysis and design</t>
  </si>
  <si>
    <t xml:space="preserve">Code/edition coverage matters</t>
  </si>
  <si>
    <t xml:space="preserve">Autodesk Robot Structural Analysis</t>
  </si>
  <si>
    <t xml:space="preserve">Building structure analysis</t>
  </si>
  <si>
    <t xml:space="preserve">Interoperability needs checking</t>
  </si>
  <si>
    <t xml:space="preserve">Tekla Structural Designer</t>
  </si>
  <si>
    <t xml:space="preserve">Building analysis and design</t>
  </si>
  <si>
    <t xml:space="preserve">Regional design codes vary</t>
  </si>
  <si>
    <t xml:space="preserve">RFEM</t>
  </si>
  <si>
    <t xml:space="preserve">General member and surface FEA</t>
  </si>
  <si>
    <t xml:space="preserve">Add-on requirements</t>
  </si>
  <si>
    <t xml:space="preserve">SCIA Engineer</t>
  </si>
  <si>
    <t xml:space="preserve">Country code modules</t>
  </si>
  <si>
    <t xml:space="preserve">MIDAS Gen</t>
  </si>
  <si>
    <t xml:space="preserve">General/building structural engineering</t>
  </si>
  <si>
    <t xml:space="preserve">Product and code edition checks</t>
  </si>
  <si>
    <t xml:space="preserve">RISA-3D</t>
  </si>
  <si>
    <t xml:space="preserve">Building and general frame analysis</t>
  </si>
  <si>
    <t xml:space="preserve">Regional workflow focus</t>
  </si>
  <si>
    <t xml:space="preserve">OpenSees</t>
  </si>
  <si>
    <t xml:space="preserve">S</t>
  </si>
  <si>
    <t xml:space="preserve">Nonlinear structural/earthquake research</t>
  </si>
  <si>
    <t xml:space="preserve">Published redistribution terms restrict commercial use</t>
  </si>
  <si>
    <t xml:space="preserve">C02</t>
  </si>
  <si>
    <t xml:space="preserve">CSiBridge</t>
  </si>
  <si>
    <t xml:space="preserve">Bridge analysis design and rating</t>
  </si>
  <si>
    <t xml:space="preserve">Code and staged-model setup</t>
  </si>
  <si>
    <t xml:space="preserve">MIDAS Civil</t>
  </si>
  <si>
    <t xml:space="preserve">Bridge and civil structural analysis</t>
  </si>
  <si>
    <t xml:space="preserve">Creep and sequence assumptions</t>
  </si>
  <si>
    <t xml:space="preserve">RM Bridge</t>
  </si>
  <si>
    <t xml:space="preserve">Complex bridge engineering</t>
  </si>
  <si>
    <t xml:space="preserve">Specialist modelling workflow</t>
  </si>
  <si>
    <t xml:space="preserve">LUSAS Bridge</t>
  </si>
  <si>
    <t xml:space="preserve">Bridge finite-element analysis</t>
  </si>
  <si>
    <t xml:space="preserve">Product options and expertise</t>
  </si>
  <si>
    <t xml:space="preserve">SOFiSTiK</t>
  </si>
  <si>
    <t xml:space="preserve">Bridge analysis and design automation</t>
  </si>
  <si>
    <t xml:space="preserve">OpenBridge Designer</t>
  </si>
  <si>
    <t xml:space="preserve">Bridge modelling and analysis integration</t>
  </si>
  <si>
    <t xml:space="preserve">Suite components have distinct roles</t>
  </si>
  <si>
    <t xml:space="preserve">LEAP Bridge Concrete</t>
  </si>
  <si>
    <t xml:space="preserve">Concrete bridge workflows</t>
  </si>
  <si>
    <t xml:space="preserve">Template and regional code scope</t>
  </si>
  <si>
    <t xml:space="preserve">LEAP Bridge Steel</t>
  </si>
  <si>
    <t xml:space="preserve">Steel bridge workflows</t>
  </si>
  <si>
    <t xml:space="preserve">General bridge structural modelling</t>
  </si>
  <si>
    <t xml:space="preserve">Specialized bridge workflow may need additions</t>
  </si>
  <si>
    <t xml:space="preserve">Detailed bridge components and nonlinear FEA</t>
  </si>
  <si>
    <t xml:space="preserve">Not a turnkey bridge code-design suite</t>
  </si>
  <si>
    <t xml:space="preserve">C03</t>
  </si>
  <si>
    <t xml:space="preserve">PLAXIS 2D/3D</t>
  </si>
  <si>
    <t xml:space="preserve">Geotechnical finite elements</t>
  </si>
  <si>
    <t xml:space="preserve">Soil constitutive calibration</t>
  </si>
  <si>
    <t xml:space="preserve">GeoStudio</t>
  </si>
  <si>
    <t xml:space="preserve">Slope seepage and geotechnical studies</t>
  </si>
  <si>
    <t xml:space="preserve">Modules use different formulations</t>
  </si>
  <si>
    <t xml:space="preserve">Rocscience RS2</t>
  </si>
  <si>
    <t xml:space="preserve">2D geotechnical FEA</t>
  </si>
  <si>
    <t xml:space="preserve">Plane-strain assumptions</t>
  </si>
  <si>
    <t xml:space="preserve">Rocscience RS3</t>
  </si>
  <si>
    <t xml:space="preserve">3D geotechnical FEA</t>
  </si>
  <si>
    <t xml:space="preserve">Parameter and mesh uncertainty</t>
  </si>
  <si>
    <t xml:space="preserve">Rocscience Slide2</t>
  </si>
  <si>
    <t xml:space="preserve">2D limit-equilibrium slopes</t>
  </si>
  <si>
    <t xml:space="preserve">Failure-surface assumptions</t>
  </si>
  <si>
    <t xml:space="preserve">Rocscience Slide3</t>
  </si>
  <si>
    <t xml:space="preserve">3D limit-equilibrium slopes</t>
  </si>
  <si>
    <t xml:space="preserve">Geometry and search settings matter</t>
  </si>
  <si>
    <t xml:space="preserve">FLAC3D</t>
  </si>
  <si>
    <t xml:space="preserve">Geomechanical continuum modelling</t>
  </si>
  <si>
    <t xml:space="preserve">Specialist constitutive and boundary setup</t>
  </si>
  <si>
    <t xml:space="preserve">GEO5</t>
  </si>
  <si>
    <t xml:space="preserve">Practical geotechnical design programs</t>
  </si>
  <si>
    <t xml:space="preserve">Individual modules cover different tasks</t>
  </si>
  <si>
    <t xml:space="preserve">MIDAS GTS NX</t>
  </si>
  <si>
    <t xml:space="preserve">Verify current product/version naming</t>
  </si>
  <si>
    <t xml:space="preserve">Rocscience Settle3</t>
  </si>
  <si>
    <t xml:space="preserve">Settlement and consolidation</t>
  </si>
  <si>
    <t xml:space="preserve">Companion specialty, not all geotechnics</t>
  </si>
  <si>
    <t xml:space="preserve">C04</t>
  </si>
  <si>
    <t xml:space="preserve">MIKE+</t>
  </si>
  <si>
    <t xml:space="preserve">Integrated urban water modelling</t>
  </si>
  <si>
    <t xml:space="preserve">Modules and model coupling</t>
  </si>
  <si>
    <t xml:space="preserve">MIKE 21</t>
  </si>
  <si>
    <t xml:space="preserve">2D coastal and free-surface flow</t>
  </si>
  <si>
    <t xml:space="preserve">Different from pipe-network analysis</t>
  </si>
  <si>
    <t xml:space="preserve">OpenFlows Water</t>
  </si>
  <si>
    <t xml:space="preserve">Water distribution studies</t>
  </si>
  <si>
    <t xml:space="preserve">Package/legacy WaterGEMS naming varies</t>
  </si>
  <si>
    <t xml:space="preserve">OpenFlows Sewer</t>
  </si>
  <si>
    <t xml:space="preserve">Wastewater and storm networks</t>
  </si>
  <si>
    <t xml:space="preserve">Edition and engine options</t>
  </si>
  <si>
    <t xml:space="preserve">Autodesk InfoWorks ICM</t>
  </si>
  <si>
    <t xml:space="preserve">Integrated catchment modelling</t>
  </si>
  <si>
    <t xml:space="preserve">Large models need careful calibration</t>
  </si>
  <si>
    <t xml:space="preserve">Autodesk InfoDrainage</t>
  </si>
  <si>
    <t xml:space="preserve">Drainage design</t>
  </si>
  <si>
    <t xml:space="preserve">Local rainfall/design criteria matter</t>
  </si>
  <si>
    <t xml:space="preserve">PCSWMM</t>
  </si>
  <si>
    <t xml:space="preserve">SWMM-based modelling environment</t>
  </si>
  <si>
    <t xml:space="preserve">Commercial interface around model workflows</t>
  </si>
  <si>
    <t xml:space="preserve">HEC-RAS</t>
  </si>
  <si>
    <t xml:space="preserve">River hydraulics and flood modelling</t>
  </si>
  <si>
    <t xml:space="preserve">Free access is not full open-source equivalence</t>
  </si>
  <si>
    <t xml:space="preserve">EPA SWMM</t>
  </si>
  <si>
    <t xml:space="preserve">Stormwater and sewer modelling engine</t>
  </si>
  <si>
    <t xml:space="preserve">GIS/design interface may be separate</t>
  </si>
  <si>
    <t xml:space="preserve">SWMM model files; APIs/wrappers</t>
  </si>
  <si>
    <t xml:space="preserve">Water distribution and quality simulation</t>
  </si>
  <si>
    <t xml:space="preserve">Different problem from surface flooding</t>
  </si>
  <si>
    <t xml:space="preserve">C05</t>
  </si>
  <si>
    <t xml:space="preserve">Autodesk Civil 3D</t>
  </si>
  <si>
    <t xml:space="preserve">Civil surfaces and corridor design</t>
  </si>
  <si>
    <t xml:space="preserve">Templates and data shortcuts require governance</t>
  </si>
  <si>
    <t xml:space="preserve">OpenRoads Designer</t>
  </si>
  <si>
    <t xml:space="preserve">Roadway design and documentation</t>
  </si>
  <si>
    <t xml:space="preserve">Regional workspace setup</t>
  </si>
  <si>
    <t xml:space="preserve">OpenRail Designer</t>
  </si>
  <si>
    <t xml:space="preserve">Rail geometry and corridor design</t>
  </si>
  <si>
    <t xml:space="preserve">Specialized rail constraints</t>
  </si>
  <si>
    <t xml:space="preserve">12d Model</t>
  </si>
  <si>
    <t xml:space="preserve">Survey civil and drainage design</t>
  </si>
  <si>
    <t xml:space="preserve">Workflow and module configuration</t>
  </si>
  <si>
    <t xml:space="preserve">Trimble Novapoint</t>
  </si>
  <si>
    <t xml:space="preserve">Infrastructure design</t>
  </si>
  <si>
    <t xml:space="preserve">Regional module availability</t>
  </si>
  <si>
    <t xml:space="preserve">Trimble Quantm</t>
  </si>
  <si>
    <t xml:space="preserve">Alignment planning and optimization</t>
  </si>
  <si>
    <t xml:space="preserve">Early-stage planning, not full detailed CAD</t>
  </si>
  <si>
    <t xml:space="preserve">Carlson Civil</t>
  </si>
  <si>
    <t xml:space="preserve">Civil engineering CAD workflow</t>
  </si>
  <si>
    <t xml:space="preserve">Host CAD and module dependencies</t>
  </si>
  <si>
    <t xml:space="preserve">Civil Site Design</t>
  </si>
  <si>
    <t xml:space="preserve">Road and site modelling</t>
  </si>
  <si>
    <t xml:space="preserve">Host CAD requirements</t>
  </si>
  <si>
    <t xml:space="preserve">CGS Labs Civil Solutions</t>
  </si>
  <si>
    <t xml:space="preserve">Road rail and river design tools</t>
  </si>
  <si>
    <t xml:space="preserve">Choose the relevant product module</t>
  </si>
  <si>
    <t xml:space="preserve">InfraWorks</t>
  </si>
  <si>
    <t xml:space="preserve">Conceptual infrastructure modelling</t>
  </si>
  <si>
    <t xml:space="preserve">Not detailed corridor analysis parity</t>
  </si>
  <si>
    <t xml:space="preserve">C06</t>
  </si>
  <si>
    <t xml:space="preserve">PTV Vissim</t>
  </si>
  <si>
    <t xml:space="preserve">Microscopic multimodal traffic</t>
  </si>
  <si>
    <t xml:space="preserve">Behavioral calibration required</t>
  </si>
  <si>
    <t xml:space="preserve">PTV Visum</t>
  </si>
  <si>
    <t xml:space="preserve">Transport demand and network planning</t>
  </si>
  <si>
    <t xml:space="preserve">Different scale from microscopic simulation</t>
  </si>
  <si>
    <t xml:space="preserve">Aimsun Next</t>
  </si>
  <si>
    <t xml:space="preserve">Traffic modelling across scales</t>
  </si>
  <si>
    <t xml:space="preserve">Scenario and calibration expertise</t>
  </si>
  <si>
    <t xml:space="preserve">TransModeler</t>
  </si>
  <si>
    <t xml:space="preserve">Traffic simulation</t>
  </si>
  <si>
    <t xml:space="preserve">Network and demand preparation</t>
  </si>
  <si>
    <t xml:space="preserve">TransCAD</t>
  </si>
  <si>
    <t xml:space="preserve">Transport planning with GIS</t>
  </si>
  <si>
    <t xml:space="preserve">Not the same task as junction microsimulation</t>
  </si>
  <si>
    <t xml:space="preserve">SIDRA INTERSECTION</t>
  </si>
  <si>
    <t xml:space="preserve">Intersection capacity and performance</t>
  </si>
  <si>
    <t xml:space="preserve">Method applicability must be checked</t>
  </si>
  <si>
    <t xml:space="preserve">Synchro Studio</t>
  </si>
  <si>
    <t xml:space="preserve">Signal timing and traffic analysis</t>
  </si>
  <si>
    <t xml:space="preserve">Check current supplier/package naming</t>
  </si>
  <si>
    <t xml:space="preserve">PTV Vistro</t>
  </si>
  <si>
    <t xml:space="preserve">Traffic impact and signal analysis</t>
  </si>
  <si>
    <t xml:space="preserve">Regional methods and scope</t>
  </si>
  <si>
    <t xml:space="preserve">SUMO</t>
  </si>
  <si>
    <t xml:space="preserve">Open microscopic traffic simulation</t>
  </si>
  <si>
    <t xml:space="preserve">Data preparation and calibration are substantial</t>
  </si>
  <si>
    <t xml:space="preserve">MATSim</t>
  </si>
  <si>
    <t xml:space="preserve">Large-scale agent-based transport demand</t>
  </si>
  <si>
    <t xml:space="preserve">Research-oriented configuration</t>
  </si>
  <si>
    <t xml:space="preserve">C07</t>
  </si>
  <si>
    <t xml:space="preserve">Autodesk Revit</t>
  </si>
  <si>
    <t xml:space="preserve">Building information authoring</t>
  </si>
  <si>
    <t xml:space="preserve">Analytical model still needs review</t>
  </si>
  <si>
    <t xml:space="preserve">Tekla Structures</t>
  </si>
  <si>
    <t xml:space="preserve">Detailed structural modelling</t>
  </si>
  <si>
    <t xml:space="preserve">Not equivalent to structural analysis software</t>
  </si>
  <si>
    <t xml:space="preserve">Archicad</t>
  </si>
  <si>
    <t xml:space="preserve">Architectural BIM authoring</t>
  </si>
  <si>
    <t xml:space="preserve">Engineering analyses use companion tools</t>
  </si>
  <si>
    <t xml:space="preserve">OpenBuildings Designer</t>
  </si>
  <si>
    <t xml:space="preserve">Multidiscipline building modelling</t>
  </si>
  <si>
    <t xml:space="preserve">Workspace and interoperability setup</t>
  </si>
  <si>
    <t xml:space="preserve">Navisworks Manage</t>
  </si>
  <si>
    <t xml:space="preserve">Coordination and clash review</t>
  </si>
  <si>
    <t xml:space="preserve">Review tool, not primary authoring CAD</t>
  </si>
  <si>
    <t xml:space="preserve">Solibri</t>
  </si>
  <si>
    <t xml:space="preserve">Model checking and coordination</t>
  </si>
  <si>
    <t xml:space="preserve">Rules must match project requirements</t>
  </si>
  <si>
    <t xml:space="preserve">SYNCHRO 4D</t>
  </si>
  <si>
    <t xml:space="preserve">Construction sequencing linked to models</t>
  </si>
  <si>
    <t xml:space="preserve">Needs reliable schedule and model data</t>
  </si>
  <si>
    <t xml:space="preserve">Trimble Connect</t>
  </si>
  <si>
    <t xml:space="preserve">Model collaboration and sharing</t>
  </si>
  <si>
    <t xml:space="preserve">Access tiers and data governance</t>
  </si>
  <si>
    <t xml:space="preserve">Bonsai</t>
  </si>
  <si>
    <t xml:space="preserve">Native openBIM authoring workflow</t>
  </si>
  <si>
    <t xml:space="preserve">Blender-based workflow learning</t>
  </si>
  <si>
    <t xml:space="preserve">FreeCAD BIM</t>
  </si>
  <si>
    <t xml:space="preserve">Open building information modelling</t>
  </si>
  <si>
    <t xml:space="preserve">Interoperability and feature scope vary</t>
  </si>
  <si>
    <t xml:space="preserve">C08</t>
  </si>
  <si>
    <t xml:space="preserve">Trimble Business Center</t>
  </si>
  <si>
    <t xml:space="preserve">Survey-to-office processing</t>
  </si>
  <si>
    <t xml:space="preserve">Device and module support</t>
  </si>
  <si>
    <t xml:space="preserve">Leica Infinity</t>
  </si>
  <si>
    <t xml:space="preserve">Survey data processing</t>
  </si>
  <si>
    <t xml:space="preserve">Instrument ecosystem integration</t>
  </si>
  <si>
    <t xml:space="preserve">Survey surfaces and civil data</t>
  </si>
  <si>
    <t xml:space="preserve">Not a full photogrammetry engine</t>
  </si>
  <si>
    <t xml:space="preserve">ArcGIS Pro</t>
  </si>
  <si>
    <t xml:space="preserve">GIS analysis and mapping</t>
  </si>
  <si>
    <t xml:space="preserve">Extensions and organizational licensing</t>
  </si>
  <si>
    <t xml:space="preserve">Global Mapper</t>
  </si>
  <si>
    <t xml:space="preserve">GIS and terrain processing</t>
  </si>
  <si>
    <t xml:space="preserve">Advanced point-cloud functions vary</t>
  </si>
  <si>
    <t xml:space="preserve">Pix4Dmatic</t>
  </si>
  <si>
    <t xml:space="preserve">Photogrammetric reconstruction</t>
  </si>
  <si>
    <t xml:space="preserve">Acquisition and control quality</t>
  </si>
  <si>
    <t xml:space="preserve">Agisoft Metashape</t>
  </si>
  <si>
    <t xml:space="preserve">Image-based 3D reconstruction</t>
  </si>
  <si>
    <t xml:space="preserve">Scale and georeferencing still need control</t>
  </si>
  <si>
    <t xml:space="preserve">QGIS</t>
  </si>
  <si>
    <t xml:space="preserve">Open GIS platform</t>
  </si>
  <si>
    <t xml:space="preserve">Specialist survey tools may be plugins</t>
  </si>
  <si>
    <t xml:space="preserve">CloudCompare</t>
  </si>
  <si>
    <t xml:space="preserve">Point-cloud processing and inspection</t>
  </si>
  <si>
    <t xml:space="preserve">Not complete survey project management</t>
  </si>
  <si>
    <t xml:space="preserve">OpenDroneMap</t>
  </si>
  <si>
    <t xml:space="preserve">Open aerial photogrammetry</t>
  </si>
  <si>
    <t xml:space="preserve">Compute requirements and acquisition quality</t>
  </si>
  <si>
    <t xml:space="preserve">X01</t>
  </si>
  <si>
    <t xml:space="preserve">ABB RobotStudio</t>
  </si>
  <si>
    <t xml:space="preserve">ABB offline programming</t>
  </si>
  <si>
    <t xml:space="preserve">Robot/controller ecosystem dependence</t>
  </si>
  <si>
    <t xml:space="preserve">RoboDK</t>
  </si>
  <si>
    <t xml:space="preserve">Multibrand robot simulation and programming</t>
  </si>
  <si>
    <t xml:space="preserve">API accessibility does not make engine open</t>
  </si>
  <si>
    <t xml:space="preserve">Closed engine; implementation unknown in this study</t>
  </si>
  <si>
    <t xml:space="preserve">Python and other API clients; robot-specific output</t>
  </si>
  <si>
    <t xml:space="preserve">Documented API only</t>
  </si>
  <si>
    <t xml:space="preserve">Siemens Process Simulate</t>
  </si>
  <si>
    <t xml:space="preserve">Manufacturing robot/cell simulation</t>
  </si>
  <si>
    <t xml:space="preserve">Enterprise setup and licensing</t>
  </si>
  <si>
    <t xml:space="preserve">DELMIA Robotics</t>
  </si>
  <si>
    <t xml:space="preserve">Robot manufacturing workflows</t>
  </si>
  <si>
    <t xml:space="preserve">Platform and controller configuration</t>
  </si>
  <si>
    <t xml:space="preserve">Visual Components</t>
  </si>
  <si>
    <t xml:space="preserve">Production and robot-cell simulation</t>
  </si>
  <si>
    <t xml:space="preserve">Product tier and postprocessor limits</t>
  </si>
  <si>
    <t xml:space="preserve">Gazebo</t>
  </si>
  <si>
    <t xml:space="preserve">Open robotics simulation</t>
  </si>
  <si>
    <t xml:space="preserve">Select compatible physics and ROS versions</t>
  </si>
  <si>
    <t xml:space="preserve">Webots</t>
  </si>
  <si>
    <t xml:space="preserve">Robot simulation environment</t>
  </si>
  <si>
    <t xml:space="preserve">Model fidelity and device coverage</t>
  </si>
  <si>
    <t xml:space="preserve">CoppeliaSim</t>
  </si>
  <si>
    <t xml:space="preserve">Flexible robot simulation</t>
  </si>
  <si>
    <t xml:space="preserve">Editions and component licenses differ</t>
  </si>
  <si>
    <t xml:space="preserve">MuJoCo</t>
  </si>
  <si>
    <t xml:space="preserve">Fast articulated/contact dynamics</t>
  </si>
  <si>
    <t xml:space="preserve">Not complete industrial offline programming</t>
  </si>
  <si>
    <t xml:space="preserve">Drake</t>
  </si>
  <si>
    <t xml:space="preserve">Robotics dynamics planning and optimization</t>
  </si>
  <si>
    <t xml:space="preserve">Code-first research/engineering framework</t>
  </si>
  <si>
    <t xml:space="preserve">X02</t>
  </si>
  <si>
    <t xml:space="preserve">COMSOL Multiphysics</t>
  </si>
  <si>
    <t xml:space="preserve">Coupled field simulation</t>
  </si>
  <si>
    <t xml:space="preserve">Modules and model setup determine scope</t>
  </si>
  <si>
    <t xml:space="preserve">Ansys Workbench/System Coupling</t>
  </si>
  <si>
    <t xml:space="preserve">Coupled CAE workflow</t>
  </si>
  <si>
    <t xml:space="preserve">Orchestration is not itself a universal solver</t>
  </si>
  <si>
    <t xml:space="preserve">Lumped multidomain physical systems</t>
  </si>
  <si>
    <t xml:space="preserve">Library licensing and parameter quality</t>
  </si>
  <si>
    <t xml:space="preserve">Dymola</t>
  </si>
  <si>
    <t xml:space="preserve">Modelica physical-system modelling</t>
  </si>
  <si>
    <t xml:space="preserve">Commercial libraries have separate terms</t>
  </si>
  <si>
    <t xml:space="preserve">Simulink with Simscape</t>
  </si>
  <si>
    <t xml:space="preserve">Controls plus physical networks</t>
  </si>
  <si>
    <t xml:space="preserve">Multiple licenses and modelling conventions</t>
  </si>
  <si>
    <t xml:space="preserve">Symbolic multidomain modelling</t>
  </si>
  <si>
    <t xml:space="preserve">Specialist library scope</t>
  </si>
  <si>
    <t xml:space="preserve">Equation-based system simulation</t>
  </si>
  <si>
    <t xml:space="preserve">Library and integration differences</t>
  </si>
  <si>
    <t xml:space="preserve">Ansys Twin Builder</t>
  </si>
  <si>
    <t xml:space="preserve">System-level modelling and reduced models</t>
  </si>
  <si>
    <t xml:space="preserve">Twin validity depends on calibration</t>
  </si>
  <si>
    <t xml:space="preserve">Multiphysics system/component models</t>
  </si>
  <si>
    <t xml:space="preserve">Configurable fidelity increases setup burden</t>
  </si>
  <si>
    <t xml:space="preserve">Open equation-based system modelling</t>
  </si>
  <si>
    <t xml:space="preserve">Model compatibility and solver choice matter</t>
  </si>
  <si>
    <t xml:space="preserve">X03</t>
  </si>
  <si>
    <t xml:space="preserve">MATLAB</t>
  </si>
  <si>
    <t xml:space="preserve">Integrated numerical engineering environment</t>
  </si>
  <si>
    <t xml:space="preserve">Toolboxes and deployment are separate products</t>
  </si>
  <si>
    <t xml:space="preserve">Wolfram Mathematica</t>
  </si>
  <si>
    <t xml:space="preserve">Symbolic and numerical computing</t>
  </si>
  <si>
    <t xml:space="preserve">Language and engine ecosystem differ</t>
  </si>
  <si>
    <t xml:space="preserve">Maple</t>
  </si>
  <si>
    <t xml:space="preserve">Symbolic mathematics and engineering analysis</t>
  </si>
  <si>
    <t xml:space="preserve">Not MATLAB toolbox compatibility</t>
  </si>
  <si>
    <t xml:space="preserve">PTC Mathcad Prime</t>
  </si>
  <si>
    <t xml:space="preserve">Readable engineering worksheets</t>
  </si>
  <si>
    <t xml:space="preserve">Different programming model from MATLAB</t>
  </si>
  <si>
    <t xml:space="preserve">GAMS</t>
  </si>
  <si>
    <t xml:space="preserve">Algebraic optimization modelling</t>
  </si>
  <si>
    <t xml:space="preserve">Solver licenses may be separate</t>
  </si>
  <si>
    <t xml:space="preserve">Gurobi</t>
  </si>
  <si>
    <t xml:space="preserve">Mathematical optimization solver</t>
  </si>
  <si>
    <t xml:space="preserve">Not a complete engineering desktop environment</t>
  </si>
  <si>
    <t xml:space="preserve">IBM ILOG CPLEX Optimization Studio</t>
  </si>
  <si>
    <t xml:space="preserve">Optimization modelling and solving</t>
  </si>
  <si>
    <t xml:space="preserve">Scope and licensing need checking</t>
  </si>
  <si>
    <t xml:space="preserve">Python scientific stack</t>
  </si>
  <si>
    <t xml:space="preserve">Programmable scientific computing</t>
  </si>
  <si>
    <t xml:space="preserve">Assemble and support the environment</t>
  </si>
  <si>
    <t xml:space="preserve">Julia with SciML/JuMP</t>
  </si>
  <si>
    <t xml:space="preserve">Numerical modelling and optimization</t>
  </si>
  <si>
    <t xml:space="preserve">Package/compiler reproducibility matters</t>
  </si>
  <si>
    <t xml:space="preserve">GNU Octave</t>
  </si>
  <si>
    <t xml:space="preserve">MATLAB-like numerical computing</t>
  </si>
  <si>
    <t xml:space="preserve">Incomplete toolbox and language parity</t>
  </si>
  <si>
    <t xml:space="preserve">X04</t>
  </si>
  <si>
    <t xml:space="preserve">AnyLogic</t>
  </si>
  <si>
    <t xml:space="preserve">Discrete-event agent and system-dynamics modelling</t>
  </si>
  <si>
    <t xml:space="preserve">Edition and deployment terms</t>
  </si>
  <si>
    <t xml:space="preserve">Simio</t>
  </si>
  <si>
    <t xml:space="preserve">Production/logistics simulation and scheduling</t>
  </si>
  <si>
    <t xml:space="preserve">Data preparation and calibration</t>
  </si>
  <si>
    <t xml:space="preserve">Siemens Plant Simulation</t>
  </si>
  <si>
    <t xml:space="preserve">Factory and material-flow simulation</t>
  </si>
  <si>
    <t xml:space="preserve">Not detailed mechanical physics</t>
  </si>
  <si>
    <t xml:space="preserve">FlexSim</t>
  </si>
  <si>
    <t xml:space="preserve">3D discrete-event operations simulation</t>
  </si>
  <si>
    <t xml:space="preserve">Model logic matters more than animation</t>
  </si>
  <si>
    <t xml:space="preserve">Arena</t>
  </si>
  <si>
    <t xml:space="preserve">Discrete-event process simulation</t>
  </si>
  <si>
    <t xml:space="preserve">Statistical experimental design required</t>
  </si>
  <si>
    <t xml:space="preserve">SIMUL8</t>
  </si>
  <si>
    <t xml:space="preserve">Operations and process simulation</t>
  </si>
  <si>
    <t xml:space="preserve">Application-specific modelling work</t>
  </si>
  <si>
    <t xml:space="preserve">ExtendSim</t>
  </si>
  <si>
    <t xml:space="preserve">Discrete-event and continuous simulation</t>
  </si>
  <si>
    <t xml:space="preserve">Libraries and deployment terms</t>
  </si>
  <si>
    <t xml:space="preserve">ReliaSoft suite</t>
  </si>
  <si>
    <t xml:space="preserve">Reliability and maintainability analysis</t>
  </si>
  <si>
    <t xml:space="preserve">Companion specialty, not factory flow simulation</t>
  </si>
  <si>
    <t xml:space="preserve">SimPy</t>
  </si>
  <si>
    <t xml:space="preserve">Python discrete-event simulation</t>
  </si>
  <si>
    <t xml:space="preserve">No complete graphical modeller included</t>
  </si>
  <si>
    <t xml:space="preserve">Official documentation</t>
  </si>
  <si>
    <t xml:space="preserve">JaamSim</t>
  </si>
  <si>
    <t xml:space="preserve">Open graphical discrete-event simulation</t>
  </si>
  <si>
    <t xml:space="preserve">Specialized models and support need evaluation</t>
  </si>
  <si>
    <t xml:space="preserve">I01</t>
  </si>
  <si>
    <t xml:space="preserve">Cisco Packet Tracer</t>
  </si>
  <si>
    <t xml:space="preserve">Network learning and CCNA-level simulation</t>
  </si>
  <si>
    <t xml:space="preserve">Simulated device behaviour; free but closed, via Cisco Networking Academy</t>
  </si>
  <si>
    <t xml:space="preserve">Closed implementation; not established in this pass</t>
  </si>
  <si>
    <t xml:space="preserve">Simulated IOS CLI; activity files</t>
  </si>
  <si>
    <t xml:space="preserve">Implementation unknown; interface from product documentation</t>
  </si>
  <si>
    <t xml:space="preserve">Known product: source check pending</t>
  </si>
  <si>
    <t xml:space="preserve">Cisco Modeling Labs</t>
  </si>
  <si>
    <t xml:space="preserve">Real Cisco OS images in virtual topologies</t>
  </si>
  <si>
    <t xml:space="preserve">Free tier is node-limited; larger labs need paid tiers</t>
  </si>
  <si>
    <t xml:space="preserve">Python client library; REST API</t>
  </si>
  <si>
    <t xml:space="preserve">GNS3</t>
  </si>
  <si>
    <t xml:space="preserve">Multivendor network emulation with real images</t>
  </si>
  <si>
    <t xml:space="preserve">Vendor router images carry their own licenses</t>
  </si>
  <si>
    <t xml:space="preserve">Python (server and Qt GUI)</t>
  </si>
  <si>
    <t xml:space="preserve">Python; REST API</t>
  </si>
  <si>
    <t xml:space="preserve">Public repository language; recheck at chosen release</t>
  </si>
  <si>
    <t xml:space="preserve">EVE-NG</t>
  </si>
  <si>
    <t xml:space="preserve">Multivendor lab emulation</t>
  </si>
  <si>
    <t xml:space="preserve">Community edition is free but closed; Pro is paid</t>
  </si>
  <si>
    <t xml:space="preserve">Web UI; REST API</t>
  </si>
  <si>
    <t xml:space="preserve">Riverbed Modeler</t>
  </si>
  <si>
    <t xml:space="preserve">Discrete-event network performance modelling (OPNET lineage)</t>
  </si>
  <si>
    <t xml:space="preserve">Check current product availability and support</t>
  </si>
  <si>
    <t xml:space="preserve">Product-specific model libraries</t>
  </si>
  <si>
    <t xml:space="preserve">NetSim</t>
  </si>
  <si>
    <t xml:space="preserve">Network simulation and emulation for research and teaching</t>
  </si>
  <si>
    <t xml:space="preserve">Protocol libraries depend on edition</t>
  </si>
  <si>
    <t xml:space="preserve">C model interfaces per vendor documentation</t>
  </si>
  <si>
    <t xml:space="preserve">containerlab</t>
  </si>
  <si>
    <t xml:space="preserve">Container-based network labs defined as code</t>
  </si>
  <si>
    <t xml:space="preserve">Needs container-packaged network operating systems</t>
  </si>
  <si>
    <t xml:space="preserve">Go</t>
  </si>
  <si>
    <t xml:space="preserve">YAML topology files</t>
  </si>
  <si>
    <t xml:space="preserve">Mininet</t>
  </si>
  <si>
    <t xml:space="preserve">SDN and OpenFlow emulation on one Linux host</t>
  </si>
  <si>
    <t xml:space="preserve">Namespaces and virtual switches, not a multivendor router emulator</t>
  </si>
  <si>
    <t xml:space="preserve">Python with a small C helper</t>
  </si>
  <si>
    <t xml:space="preserve">Python API</t>
  </si>
  <si>
    <t xml:space="preserve">ns-3</t>
  </si>
  <si>
    <t xml:space="preserve">Packet-level discrete-event network research</t>
  </si>
  <si>
    <t xml:space="preserve">Result validity depends on the chosen models</t>
  </si>
  <si>
    <t xml:space="preserve">OMNeT++</t>
  </si>
  <si>
    <t xml:space="preserve">Modular discrete-event network simulation</t>
  </si>
  <si>
    <t xml:space="preserve">Academic Public License; commercial use through OMNEST</t>
  </si>
  <si>
    <t xml:space="preserve">C++; NED topology language</t>
  </si>
  <si>
    <t xml:space="preserve">I02</t>
  </si>
  <si>
    <t xml:space="preserve">SolarWinds Network Performance Monitor</t>
  </si>
  <si>
    <t xml:space="preserve">Enterprise network performance monitoring</t>
  </si>
  <si>
    <t xml:space="preserve">Licensing scope and supply-chain security review</t>
  </si>
  <si>
    <t xml:space="preserve">SWQL queries; REST API</t>
  </si>
  <si>
    <t xml:space="preserve">PRTG Network Monitor</t>
  </si>
  <si>
    <t xml:space="preserve">Sensor-based all-in-one monitoring</t>
  </si>
  <si>
    <t xml:space="preserve">Licensed by sensor count</t>
  </si>
  <si>
    <t xml:space="preserve">Custom sensors via scripts; HTTP API</t>
  </si>
  <si>
    <t xml:space="preserve">Datadog Network Monitoring</t>
  </si>
  <si>
    <t xml:space="preserve">Cloud SaaS observability</t>
  </si>
  <si>
    <t xml:space="preserve">Per-host and data-volume pricing; data leaves site</t>
  </si>
  <si>
    <t xml:space="preserve">Agent integrations; REST API</t>
  </si>
  <si>
    <t xml:space="preserve">LogicMonitor</t>
  </si>
  <si>
    <t xml:space="preserve">SaaS infrastructure monitoring</t>
  </si>
  <si>
    <t xml:space="preserve">Collector placement and data residency</t>
  </si>
  <si>
    <t xml:space="preserve">Groovy and PowerShell collection scripts; REST API</t>
  </si>
  <si>
    <t xml:space="preserve">Zabbix</t>
  </si>
  <si>
    <t xml:space="preserve">Agent and SNMP infrastructure monitoring</t>
  </si>
  <si>
    <t xml:space="preserve">AGPL licensing since version 7; template quality varies</t>
  </si>
  <si>
    <t xml:space="preserve">C server; PHP web frontend; Go agent 2</t>
  </si>
  <si>
    <t xml:space="preserve">Templates; JavaScript preprocessing; REST API</t>
  </si>
  <si>
    <t xml:space="preserve">Nagios Core</t>
  </si>
  <si>
    <t xml:space="preserve">Check-based availability monitoring</t>
  </si>
  <si>
    <t xml:space="preserve">Nagios XI is commercial; core interface is dated</t>
  </si>
  <si>
    <t xml:space="preserve">C</t>
  </si>
  <si>
    <t xml:space="preserve">Plugins in any language</t>
  </si>
  <si>
    <t xml:space="preserve">LibreNMS</t>
  </si>
  <si>
    <t xml:space="preserve">Auto-discovering SNMP network monitoring</t>
  </si>
  <si>
    <t xml:space="preserve">Large estates need distributed pollers</t>
  </si>
  <si>
    <t xml:space="preserve">PHP</t>
  </si>
  <si>
    <t xml:space="preserve">PHP; REST API</t>
  </si>
  <si>
    <t xml:space="preserve">Prometheus with Grafana</t>
  </si>
  <si>
    <t xml:space="preserve">Metrics time series, alerting and dashboards</t>
  </si>
  <si>
    <t xml:space="preserve">Grafana is AGPL; long-term storage is a separate choice</t>
  </si>
  <si>
    <t xml:space="preserve">Go; Grafana in Go and TypeScript</t>
  </si>
  <si>
    <t xml:space="preserve">PromQL; exporters in any language</t>
  </si>
  <si>
    <t xml:space="preserve">Checkmk</t>
  </si>
  <si>
    <t xml:space="preserve">Rule-based infrastructure monitoring</t>
  </si>
  <si>
    <t xml:space="preserve">Raw edition is open; higher editions are commercial</t>
  </si>
  <si>
    <t xml:space="preserve">Python and C++</t>
  </si>
  <si>
    <t xml:space="preserve">Python check plugins</t>
  </si>
  <si>
    <t xml:space="preserve">Observium</t>
  </si>
  <si>
    <t xml:space="preserve">SNMP network monitoring</t>
  </si>
  <si>
    <t xml:space="preserve">Community edition carries restricted terms</t>
  </si>
  <si>
    <t xml:space="preserve">PHP-based web application</t>
  </si>
  <si>
    <t xml:space="preserve">I03</t>
  </si>
  <si>
    <t xml:space="preserve">Cisco Catalyst Center</t>
  </si>
  <si>
    <t xml:space="preserve">Intent-based management of Cisco campus networks</t>
  </si>
  <si>
    <t xml:space="preserve">Formerly DNA Center; Cisco-centric</t>
  </si>
  <si>
    <t xml:space="preserve">REST API; Python SDK</t>
  </si>
  <si>
    <t xml:space="preserve">Juniper Apstra</t>
  </si>
  <si>
    <t xml:space="preserve">Intent-based data-centre fabric automation</t>
  </si>
  <si>
    <t xml:space="preserve">Data-centre fabric scope; Juniper is now part of HPE</t>
  </si>
  <si>
    <t xml:space="preserve">Itential</t>
  </si>
  <si>
    <t xml:space="preserve">Network automation orchestration platform</t>
  </si>
  <si>
    <t xml:space="preserve">Platform tiers and integration effort</t>
  </si>
  <si>
    <t xml:space="preserve">Workflow builder; Python and Ansible integration</t>
  </si>
  <si>
    <t xml:space="preserve">Forward Enterprise</t>
  </si>
  <si>
    <t xml:space="preserve">Network digital twin and path verification</t>
  </si>
  <si>
    <t xml:space="preserve">Fidelity depends on configuration and state collection</t>
  </si>
  <si>
    <t xml:space="preserve">Network query language; REST API</t>
  </si>
  <si>
    <t xml:space="preserve">NetBrain</t>
  </si>
  <si>
    <t xml:space="preserve">Network mapping and runbook automation</t>
  </si>
  <si>
    <t xml:space="preserve">Map accuracy depends on discovery coverage</t>
  </si>
  <si>
    <t xml:space="preserve">Runbook automation; REST API</t>
  </si>
  <si>
    <t xml:space="preserve">Ansible</t>
  </si>
  <si>
    <t xml:space="preserve">Agentless configuration automation</t>
  </si>
  <si>
    <t xml:space="preserve">Automation Platform is commercial; idempotence varies by module</t>
  </si>
  <si>
    <t xml:space="preserve">YAML playbooks; Jinja2; Python modules</t>
  </si>
  <si>
    <t xml:space="preserve">NetBox</t>
  </si>
  <si>
    <t xml:space="preserve">IPAM, DCIM and network source of truth</t>
  </si>
  <si>
    <t xml:space="preserve">Cloud and enterprise editions are commercial; data quality is the product</t>
  </si>
  <si>
    <t xml:space="preserve">Python (Django)</t>
  </si>
  <si>
    <t xml:space="preserve">Python scripts; REST and GraphQL APIs</t>
  </si>
  <si>
    <t xml:space="preserve">Nautobot</t>
  </si>
  <si>
    <t xml:space="preserve">Source of truth with automation apps</t>
  </si>
  <si>
    <t xml:space="preserve">App ecosystem maturity varies</t>
  </si>
  <si>
    <t xml:space="preserve">Python apps; REST and GraphQL APIs</t>
  </si>
  <si>
    <t xml:space="preserve">Batfish</t>
  </si>
  <si>
    <t xml:space="preserve">Pre-deployment configuration analysis and verification</t>
  </si>
  <si>
    <t xml:space="preserve">Vendor configuration parser coverage</t>
  </si>
  <si>
    <t xml:space="preserve">Java</t>
  </si>
  <si>
    <t xml:space="preserve">Python client (pybatfish)</t>
  </si>
  <si>
    <t xml:space="preserve">NAPALM and Netmiko</t>
  </si>
  <si>
    <t xml:space="preserve">Python libraries for multivendor device access</t>
  </si>
  <si>
    <t xml:space="preserve">Libraries, not a platform</t>
  </si>
  <si>
    <t xml:space="preserve">I04</t>
  </si>
  <si>
    <t xml:space="preserve">Ekahau AI Pro</t>
  </si>
  <si>
    <t xml:space="preserve">Enterprise Wi-Fi survey and design</t>
  </si>
  <si>
    <t xml:space="preserve">Survey hardware needed to validate designs</t>
  </si>
  <si>
    <t xml:space="preserve">Project files; reporting templates</t>
  </si>
  <si>
    <t xml:space="preserve">Hamina Network Planner</t>
  </si>
  <si>
    <t xml:space="preserve">Cloud-based Wi-Fi planning</t>
  </si>
  <si>
    <t xml:space="preserve">Cloud subscription</t>
  </si>
  <si>
    <t xml:space="preserve">Web application</t>
  </si>
  <si>
    <t xml:space="preserve">iBwave Design</t>
  </si>
  <si>
    <t xml:space="preserve">In-building cellular, DAS and Wi-Fi design</t>
  </si>
  <si>
    <t xml:space="preserve">Project databases; reports</t>
  </si>
  <si>
    <t xml:space="preserve">Forsk Atoll</t>
  </si>
  <si>
    <t xml:space="preserve">Operator radio network planning</t>
  </si>
  <si>
    <t xml:space="preserve">Operator-scale data and calibration</t>
  </si>
  <si>
    <t xml:space="preserve">Add-ins; database integration</t>
  </si>
  <si>
    <t xml:space="preserve">Infovista Planet</t>
  </si>
  <si>
    <t xml:space="preserve">RF planning and optimization</t>
  </si>
  <si>
    <t xml:space="preserve">Propagation models need calibration</t>
  </si>
  <si>
    <t xml:space="preserve">Product-specific automation</t>
  </si>
  <si>
    <t xml:space="preserve">Cambium LINKPlanner</t>
  </si>
  <si>
    <t xml:space="preserve">Point-to-point and point-to-multipoint link planning</t>
  </si>
  <si>
    <t xml:space="preserve">Focused on Cambium hardware</t>
  </si>
  <si>
    <t xml:space="preserve">Project files</t>
  </si>
  <si>
    <t xml:space="preserve">UISP Design Center</t>
  </si>
  <si>
    <t xml:space="preserve">Wireless ISP link and site design</t>
  </si>
  <si>
    <t xml:space="preserve">Ubiquiti-centric</t>
  </si>
  <si>
    <t xml:space="preserve">Radio Mobile</t>
  </si>
  <si>
    <t xml:space="preserve">Terrain-based VHF, UHF and microwave coverage</t>
  </si>
  <si>
    <t xml:space="preserve">Windows freeware with a dated interface</t>
  </si>
  <si>
    <t xml:space="preserve">SPLAT!</t>
  </si>
  <si>
    <t xml:space="preserve">Terrain path and Longley-Rice coverage analysis</t>
  </si>
  <si>
    <t xml:space="preserve">Command-line; terrain data preparation required</t>
  </si>
  <si>
    <t xml:space="preserve">C and C++</t>
  </si>
  <si>
    <t xml:space="preserve">Command-line inputs</t>
  </si>
  <si>
    <t xml:space="preserve">Signal-Server</t>
  </si>
  <si>
    <t xml:space="preserve">Multithreaded RF coverage engine</t>
  </si>
  <si>
    <t xml:space="preserve">Engine without a design interface</t>
  </si>
  <si>
    <t xml:space="preserve">I05</t>
  </si>
  <si>
    <t xml:space="preserve">Splunk Enterprise Security</t>
  </si>
  <si>
    <t xml:space="preserve">SIEM and security analytics</t>
  </si>
  <si>
    <t xml:space="preserve">Ingest-based pricing; Splunk is now part of Cisco</t>
  </si>
  <si>
    <t xml:space="preserve">SPL; apps; REST API</t>
  </si>
  <si>
    <t xml:space="preserve">Microsoft Sentinel</t>
  </si>
  <si>
    <t xml:space="preserve">Cloud-native SIEM on Azure</t>
  </si>
  <si>
    <t xml:space="preserve">Azure data ingestion and retention costs</t>
  </si>
  <si>
    <t xml:space="preserve">KQL; Logic Apps playbooks</t>
  </si>
  <si>
    <t xml:space="preserve">CrowdStrike Falcon</t>
  </si>
  <si>
    <t xml:space="preserve">Endpoint detection and response</t>
  </si>
  <si>
    <t xml:space="preserve">Agent-based subscription</t>
  </si>
  <si>
    <t xml:space="preserve">Event query language; REST API</t>
  </si>
  <si>
    <t xml:space="preserve">Cortex XSIAM</t>
  </si>
  <si>
    <t xml:space="preserve">SOC platform from Palo Alto Networks</t>
  </si>
  <si>
    <t xml:space="preserve">Platform scope; absorbed QRadar SaaS customers</t>
  </si>
  <si>
    <t xml:space="preserve">XQL; playbooks</t>
  </si>
  <si>
    <t xml:space="preserve">Elastic Security</t>
  </si>
  <si>
    <t xml:space="preserve">SIEM built on Elasticsearch</t>
  </si>
  <si>
    <t xml:space="preserve">AGPL, SSPL or Elastic License options; some features in paid tiers</t>
  </si>
  <si>
    <t xml:space="preserve">Java (Elasticsearch); TypeScript (Kibana)</t>
  </si>
  <si>
    <t xml:space="preserve">ES|QL; KQL; EQL detection rules</t>
  </si>
  <si>
    <t xml:space="preserve">Wazuh</t>
  </si>
  <si>
    <t xml:space="preserve">Open XDR and SIEM with host intrusion detection lineage</t>
  </si>
  <si>
    <t xml:space="preserve">Rule tuning and scale-out effort</t>
  </si>
  <si>
    <t xml:space="preserve">C and Python</t>
  </si>
  <si>
    <t xml:space="preserve">XML rules and decoders; REST API</t>
  </si>
  <si>
    <t xml:space="preserve">Security Onion</t>
  </si>
  <si>
    <t xml:space="preserve">Integrated network security monitoring distribution</t>
  </si>
  <si>
    <t xml:space="preserve">Check the license of each release and bundled component</t>
  </si>
  <si>
    <t xml:space="preserve">Integration of Zeek, Suricata and other tools</t>
  </si>
  <si>
    <t xml:space="preserve">Salt states; detection rules</t>
  </si>
  <si>
    <t xml:space="preserve">Graylog</t>
  </si>
  <si>
    <t xml:space="preserve">Log management and SIEM</t>
  </si>
  <si>
    <t xml:space="preserve">Graylog Open uses SSPL, which is not OSI open source</t>
  </si>
  <si>
    <t xml:space="preserve">Pipeline rules; REST API</t>
  </si>
  <si>
    <t xml:space="preserve">Suricata</t>
  </si>
  <si>
    <t xml:space="preserve">Network IDS, IPS and security monitoring</t>
  </si>
  <si>
    <t xml:space="preserve">Rule tuning and throughput sizing</t>
  </si>
  <si>
    <t xml:space="preserve">C and Rust</t>
  </si>
  <si>
    <t xml:space="preserve">Suricata rules; Lua</t>
  </si>
  <si>
    <t xml:space="preserve">Zeek</t>
  </si>
  <si>
    <t xml:space="preserve">Network traffic analysis and protocol logging</t>
  </si>
  <si>
    <t xml:space="preserve">Analysis and logging, not an inline blocker</t>
  </si>
  <si>
    <t xml:space="preserve">Zeek scripting language; Spicy parsers</t>
  </si>
  <si>
    <t xml:space="preserve">I06</t>
  </si>
  <si>
    <t xml:space="preserve">Wireshark</t>
  </si>
  <si>
    <t xml:space="preserve">Packet capture and protocol dissection</t>
  </si>
  <si>
    <t xml:space="preserve">Analysis tool, not a monitoring platform</t>
  </si>
  <si>
    <t xml:space="preserve">Lua dissectors; C plugins</t>
  </si>
  <si>
    <t xml:space="preserve">tcpdump and libpcap</t>
  </si>
  <si>
    <t xml:space="preserve">Command-line capture and capture library</t>
  </si>
  <si>
    <t xml:space="preserve">Text output and capture filters only</t>
  </si>
  <si>
    <t xml:space="preserve">BPF filter expressions</t>
  </si>
  <si>
    <t xml:space="preserve">Nmap</t>
  </si>
  <si>
    <t xml:space="preserve">Network discovery and port scanning</t>
  </si>
  <si>
    <t xml:space="preserve">Nmap Public Source License restricts proprietary redistribution</t>
  </si>
  <si>
    <t xml:space="preserve">Lua (Nmap Scripting Engine)</t>
  </si>
  <si>
    <t xml:space="preserve">Tenable Nessus</t>
  </si>
  <si>
    <t xml:space="preserve">Vulnerability scanning</t>
  </si>
  <si>
    <t xml:space="preserve">Plugin feed is a subscription; Essentials tier is limited</t>
  </si>
  <si>
    <t xml:space="preserve">NASL plugins</t>
  </si>
  <si>
    <t xml:space="preserve">Qualys VMDR</t>
  </si>
  <si>
    <t xml:space="preserve">Cloud vulnerability management</t>
  </si>
  <si>
    <t xml:space="preserve">Agent and scanner licensing</t>
  </si>
  <si>
    <t xml:space="preserve">REST API</t>
  </si>
  <si>
    <t xml:space="preserve">Rapid7 InsightVM</t>
  </si>
  <si>
    <t xml:space="preserve">Vulnerability risk management</t>
  </si>
  <si>
    <t xml:space="preserve">Subscription licensing</t>
  </si>
  <si>
    <t xml:space="preserve">Burp Suite Professional</t>
  </si>
  <si>
    <t xml:space="preserve">Web application security testing</t>
  </si>
  <si>
    <t xml:space="preserve">Community edition is limited</t>
  </si>
  <si>
    <t xml:space="preserve">Java and Kotlin extensions (Montoya API)</t>
  </si>
  <si>
    <t xml:space="preserve">Metasploit Framework</t>
  </si>
  <si>
    <t xml:space="preserve">Exploit development and validation</t>
  </si>
  <si>
    <t xml:space="preserve">Authorized testing only; Metasploit Pro is commercial</t>
  </si>
  <si>
    <t xml:space="preserve">Ruby</t>
  </si>
  <si>
    <t xml:space="preserve">Ruby modules</t>
  </si>
  <si>
    <t xml:space="preserve">Greenbone OpenVAS</t>
  </si>
  <si>
    <t xml:space="preserve">Open vulnerability scanning</t>
  </si>
  <si>
    <t xml:space="preserve">Community feed differs from the enterprise feed</t>
  </si>
  <si>
    <t xml:space="preserve">C scanner; Python management components</t>
  </si>
  <si>
    <t xml:space="preserve">ZAP</t>
  </si>
  <si>
    <t xml:space="preserve">Open web application security scanner</t>
  </si>
  <si>
    <t xml:space="preserve">Dynamic testing has coverage limits</t>
  </si>
  <si>
    <t xml:space="preserve">Scripts and add-ons; REST API</t>
  </si>
  <si>
    <t xml:space="preserve">I07</t>
  </si>
  <si>
    <t xml:space="preserve">Claroty xDome</t>
  </si>
  <si>
    <t xml:space="preserve">OT and IoT asset visibility and threat detection</t>
  </si>
  <si>
    <t xml:space="preserve">Passive sensor placement and coverage</t>
  </si>
  <si>
    <t xml:space="preserve">Nozomi Networks Guardian</t>
  </si>
  <si>
    <t xml:space="preserve">OT network monitoring and anomaly detection</t>
  </si>
  <si>
    <t xml:space="preserve">Sensor deployment and tuning</t>
  </si>
  <si>
    <t xml:space="preserve">Dragos Platform</t>
  </si>
  <si>
    <t xml:space="preserve">ICS threat detection and response</t>
  </si>
  <si>
    <t xml:space="preserve">Industrial-focused licensing</t>
  </si>
  <si>
    <t xml:space="preserve">Tenable OT Security</t>
  </si>
  <si>
    <t xml:space="preserve">OT asset inventory and vulnerability management</t>
  </si>
  <si>
    <t xml:space="preserve">Review the safety of any active queries</t>
  </si>
  <si>
    <t xml:space="preserve">Microsoft Defender for IoT</t>
  </si>
  <si>
    <t xml:space="preserve">OT monitoring within Microsoft security tooling</t>
  </si>
  <si>
    <t xml:space="preserve">Microsoft and Azure ecosystem</t>
  </si>
  <si>
    <t xml:space="preserve">KQL through Sentinel; REST API</t>
  </si>
  <si>
    <t xml:space="preserve">Siemens SINEC NMS</t>
  </si>
  <si>
    <t xml:space="preserve">Industrial network management for Siemens networks</t>
  </si>
  <si>
    <t xml:space="preserve">Siemens-centric device support</t>
  </si>
  <si>
    <t xml:space="preserve">Product-specific configuration</t>
  </si>
  <si>
    <t xml:space="preserve">Moxa MXview One</t>
  </si>
  <si>
    <t xml:space="preserve">Industrial network topology and monitoring</t>
  </si>
  <si>
    <t xml:space="preserve">Strongest with Moxa devices</t>
  </si>
  <si>
    <t xml:space="preserve">Web interface; MQTT and REST integration</t>
  </si>
  <si>
    <t xml:space="preserve">Belden Industrial HiVision</t>
  </si>
  <si>
    <t xml:space="preserve">Industrial Ethernet network management</t>
  </si>
  <si>
    <t xml:space="preserve">Strongest with Hirschmann and Belden devices</t>
  </si>
  <si>
    <t xml:space="preserve">Malcolm</t>
  </si>
  <si>
    <t xml:space="preserve">Open traffic analysis suite for ICS networks (CISA)</t>
  </si>
  <si>
    <t xml:space="preserve">Resource-heavy integration of many components</t>
  </si>
  <si>
    <t xml:space="preserve">Python plus bundled Zeek, Suricata, Arkime and OpenSearch</t>
  </si>
  <si>
    <t xml:space="preserve">Zeek scripts; Suricata rules</t>
  </si>
  <si>
    <t xml:space="preserve">Zeek ICSNPP parsers</t>
  </si>
  <si>
    <t xml:space="preserve">Industrial protocol parsers for Zeek</t>
  </si>
  <si>
    <t xml:space="preserve">Coverage differs by protocol</t>
  </si>
  <si>
    <t xml:space="preserve">Spicy and Zeek scripts; C++</t>
  </si>
  <si>
    <t xml:space="preserve">Zeek scripting language</t>
  </si>
  <si>
    <t xml:space="preserve">I08</t>
  </si>
  <si>
    <t xml:space="preserve">Microsoft Intune</t>
  </si>
  <si>
    <t xml:space="preserve">Cloud device management (MDM and MAM)</t>
  </si>
  <si>
    <t xml:space="preserve">Microsoft 365 licensing</t>
  </si>
  <si>
    <t xml:space="preserve">Microsoft Graph API; PowerShell</t>
  </si>
  <si>
    <t xml:space="preserve">Microsoft Configuration Manager</t>
  </si>
  <si>
    <t xml:space="preserve">On-premises Windows estate management</t>
  </si>
  <si>
    <t xml:space="preserve">Windows-centric and infrastructure-heavy</t>
  </si>
  <si>
    <t xml:space="preserve">PowerShell; WMI</t>
  </si>
  <si>
    <t xml:space="preserve">Jamf Pro</t>
  </si>
  <si>
    <t xml:space="preserve">Apple device management</t>
  </si>
  <si>
    <t xml:space="preserve">Apple devices only</t>
  </si>
  <si>
    <t xml:space="preserve">Scripts; REST API</t>
  </si>
  <si>
    <t xml:space="preserve">ManageEngine Endpoint Central</t>
  </si>
  <si>
    <t xml:space="preserve">Unified endpoint management</t>
  </si>
  <si>
    <t xml:space="preserve">Edition and module tiers</t>
  </si>
  <si>
    <t xml:space="preserve">NinjaOne</t>
  </si>
  <si>
    <t xml:space="preserve">Remote monitoring and management for IT teams and MSPs</t>
  </si>
  <si>
    <t xml:space="preserve">Per-device subscription</t>
  </si>
  <si>
    <t xml:space="preserve">OpenVox</t>
  </si>
  <si>
    <t xml:space="preserve">Declarative configuration management (community Puppet fork)</t>
  </si>
  <si>
    <t xml:space="preserve">Forked after Perforce moved Puppet development to private repositories</t>
  </si>
  <si>
    <t xml:space="preserve">Ruby; Clojure server</t>
  </si>
  <si>
    <t xml:space="preserve">Puppet language</t>
  </si>
  <si>
    <t xml:space="preserve">Salt</t>
  </si>
  <si>
    <t xml:space="preserve">Event-driven configuration and remote execution</t>
  </si>
  <si>
    <t xml:space="preserve">Owned by Broadcom; check roadmap</t>
  </si>
  <si>
    <t xml:space="preserve">YAML states; Jinja2; Python modules</t>
  </si>
  <si>
    <t xml:space="preserve">Chef Infra</t>
  </si>
  <si>
    <t xml:space="preserve">Code-driven configuration management</t>
  </si>
  <si>
    <t xml:space="preserve">Source is Apache-licensed; official distributions have commercial terms</t>
  </si>
  <si>
    <t xml:space="preserve">Ruby DSL</t>
  </si>
  <si>
    <t xml:space="preserve">osquery with Fleet</t>
  </si>
  <si>
    <t xml:space="preserve">SQL-queried endpoint telemetry and fleet management</t>
  </si>
  <si>
    <t xml:space="preserve">Fleet premium features are commercial</t>
  </si>
  <si>
    <t xml:space="preserve">C++ (osquery); Go (Fleet)</t>
  </si>
  <si>
    <t xml:space="preserve">SQL</t>
  </si>
  <si>
    <t xml:space="preserve">MeshCentral</t>
  </si>
  <si>
    <t xml:space="preserve">Self-hosted remote management and remote desktop</t>
  </si>
  <si>
    <t xml:space="preserve">Security hardening is the operator's responsibility</t>
  </si>
  <si>
    <t xml:space="preserve">JavaScript (Node.js)</t>
  </si>
  <si>
    <t xml:space="preserve">JavaScript plugins</t>
  </si>
  <si>
    <t xml:space="preserve">I09</t>
  </si>
  <si>
    <t xml:space="preserve">VMware vSphere</t>
  </si>
  <si>
    <t xml:space="preserve">Enterprise server virtualization</t>
  </si>
  <si>
    <t xml:space="preserve">Broadcom subscriptions; free ESXi entry edition returned in 2025 without support</t>
  </si>
  <si>
    <t xml:space="preserve">PowerCLI; REST API</t>
  </si>
  <si>
    <t xml:space="preserve">Microsoft Hyper-V</t>
  </si>
  <si>
    <t xml:space="preserve">Windows Server virtualization</t>
  </si>
  <si>
    <t xml:space="preserve">Windows Server licensing</t>
  </si>
  <si>
    <t xml:space="preserve">Nutanix AHV</t>
  </si>
  <si>
    <t xml:space="preserve">Hyperconverged infrastructure</t>
  </si>
  <si>
    <t xml:space="preserve">Community Edition has limits</t>
  </si>
  <si>
    <t xml:space="preserve">XenServer</t>
  </si>
  <si>
    <t xml:space="preserve">Xen-based enterprise virtualization</t>
  </si>
  <si>
    <t xml:space="preserve">Check current ownership, naming and licensing</t>
  </si>
  <si>
    <t xml:space="preserve">XAPI</t>
  </si>
  <si>
    <t xml:space="preserve">Proxmox VE</t>
  </si>
  <si>
    <t xml:space="preserve">KVM and container virtualization platform</t>
  </si>
  <si>
    <t xml:space="preserve">AGPL; enterprise repository needs a subscription</t>
  </si>
  <si>
    <t xml:space="preserve">Perl and Rust; JavaScript web UI</t>
  </si>
  <si>
    <t xml:space="preserve">REST API; CLI</t>
  </si>
  <si>
    <t xml:space="preserve">XCP-ng</t>
  </si>
  <si>
    <t xml:space="preserve">Open Xen hypervisor platform</t>
  </si>
  <si>
    <t xml:space="preserve">Xen Orchestra source builds differ from the supported appliance</t>
  </si>
  <si>
    <t xml:space="preserve">OCaml (XAPI) and C</t>
  </si>
  <si>
    <t xml:space="preserve">KVM, QEMU and libvirt</t>
  </si>
  <si>
    <t xml:space="preserve">Linux virtualization building blocks</t>
  </si>
  <si>
    <t xml:space="preserve">Components, not a management platform</t>
  </si>
  <si>
    <t xml:space="preserve">libvirt XML; language bindings</t>
  </si>
  <si>
    <t xml:space="preserve">OpenStack</t>
  </si>
  <si>
    <t xml:space="preserve">Private infrastructure-as-a-service cloud</t>
  </si>
  <si>
    <t xml:space="preserve">High operational complexity</t>
  </si>
  <si>
    <t xml:space="preserve">Python; REST APIs</t>
  </si>
  <si>
    <t xml:space="preserve">Apache CloudStack</t>
  </si>
  <si>
    <t xml:space="preserve">Turnkey IaaS cloud orchestration</t>
  </si>
  <si>
    <t xml:space="preserve">Smaller ecosystem than OpenStack</t>
  </si>
  <si>
    <t xml:space="preserve">Harvester</t>
  </si>
  <si>
    <t xml:space="preserve">Kubernetes-based hyperconverged infrastructure</t>
  </si>
  <si>
    <t xml:space="preserve">Requires Kubernetes operating skills</t>
  </si>
  <si>
    <t xml:space="preserve">Kubernetes APIs</t>
  </si>
  <si>
    <t xml:space="preserve">I10</t>
  </si>
  <si>
    <t xml:space="preserve">Terraform</t>
  </si>
  <si>
    <t xml:space="preserve">Infrastructure as code</t>
  </si>
  <si>
    <t xml:space="preserve">Business Source License since 2023; HashiCorp is now part of IBM</t>
  </si>
  <si>
    <t xml:space="preserve">HCL</t>
  </si>
  <si>
    <t xml:space="preserve">OpenTofu</t>
  </si>
  <si>
    <t xml:space="preserve">Open-source fork of Terraform</t>
  </si>
  <si>
    <t xml:space="preserve">Provider compatibility varies by version</t>
  </si>
  <si>
    <t xml:space="preserve">Kubernetes</t>
  </si>
  <si>
    <t xml:space="preserve">Container orchestration</t>
  </si>
  <si>
    <t xml:space="preserve">Operational complexity for small teams</t>
  </si>
  <si>
    <t xml:space="preserve">YAML manifests; Go operators</t>
  </si>
  <si>
    <t xml:space="preserve">Red Hat OpenShift</t>
  </si>
  <si>
    <t xml:space="preserve">Enterprise Kubernetes platform</t>
  </si>
  <si>
    <t xml:space="preserve">Subscription; OKD is the community distribution</t>
  </si>
  <si>
    <t xml:space="preserve">Kubernetes APIs; operators</t>
  </si>
  <si>
    <t xml:space="preserve">Docker Engine (Moby)</t>
  </si>
  <si>
    <t xml:space="preserve">Container build and runtime</t>
  </si>
  <si>
    <t xml:space="preserve">Docker Desktop has separate commercial terms</t>
  </si>
  <si>
    <t xml:space="preserve">Dockerfiles; REST API</t>
  </si>
  <si>
    <t xml:space="preserve">GitLab</t>
  </si>
  <si>
    <t xml:space="preserve">Git hosting, CI/CD and DevSecOps</t>
  </si>
  <si>
    <t xml:space="preserve">Community edition is open; enterprise features are proprietary</t>
  </si>
  <si>
    <t xml:space="preserve">Ruby, Go and JavaScript</t>
  </si>
  <si>
    <t xml:space="preserve">YAML pipelines</t>
  </si>
  <si>
    <t xml:space="preserve">GitHub Actions</t>
  </si>
  <si>
    <t xml:space="preserve">Hosted CI/CD on GitHub</t>
  </si>
  <si>
    <t xml:space="preserve">Hosted minutes and runner policies</t>
  </si>
  <si>
    <t xml:space="preserve">YAML workflows; JavaScript and container actions</t>
  </si>
  <si>
    <t xml:space="preserve">Jenkins</t>
  </si>
  <si>
    <t xml:space="preserve">Self-hosted CI automation server</t>
  </si>
  <si>
    <t xml:space="preserve">Plugin sprawl and maintenance burden</t>
  </si>
  <si>
    <t xml:space="preserve">Groovy pipelines</t>
  </si>
  <si>
    <t xml:space="preserve">Argo CD</t>
  </si>
  <si>
    <t xml:space="preserve">GitOps continuous delivery for Kubernetes</t>
  </si>
  <si>
    <t xml:space="preserve">Kubernetes-only</t>
  </si>
  <si>
    <t xml:space="preserve">YAML manifests</t>
  </si>
  <si>
    <t xml:space="preserve">HashiCorp Vault</t>
  </si>
  <si>
    <t xml:space="preserve">Secrets management</t>
  </si>
  <si>
    <t xml:space="preserve">Business Source License; OpenBao is the open fork</t>
  </si>
  <si>
    <t xml:space="preserve">HCL policies; REST API</t>
  </si>
  <si>
    <t xml:space="preserve">I11</t>
  </si>
  <si>
    <t xml:space="preserve">Oracle Database</t>
  </si>
  <si>
    <t xml:space="preserve">Enterprise relational database</t>
  </si>
  <si>
    <t xml:space="preserve">Licensing complexity</t>
  </si>
  <si>
    <t xml:space="preserve">SQL; PL/SQL</t>
  </si>
  <si>
    <t xml:space="preserve">Microsoft SQL Server</t>
  </si>
  <si>
    <t xml:space="preserve">Core-based licensing; Express edition limits</t>
  </si>
  <si>
    <t xml:space="preserve">T-SQL</t>
  </si>
  <si>
    <t xml:space="preserve">AVEVA PI System</t>
  </si>
  <si>
    <t xml:space="preserve">Industrial process historian</t>
  </si>
  <si>
    <t xml:space="preserve">Tag-based licensing; data held in vendor formats</t>
  </si>
  <si>
    <t xml:space="preserve">PI SDK; Web API</t>
  </si>
  <si>
    <t xml:space="preserve">PostgreSQL</t>
  </si>
  <si>
    <t xml:space="preserve">General-purpose relational database</t>
  </si>
  <si>
    <t xml:space="preserve">Tuning and high availability are separate design work</t>
  </si>
  <si>
    <t xml:space="preserve">SQL; PL/pgSQL; C extensions</t>
  </si>
  <si>
    <t xml:space="preserve">MySQL</t>
  </si>
  <si>
    <t xml:space="preserve">Relational database for web workloads</t>
  </si>
  <si>
    <t xml:space="preserve">GPL community edition versus Oracle commercial editions; MariaDB is the fork</t>
  </si>
  <si>
    <t xml:space="preserve">MongoDB</t>
  </si>
  <si>
    <t xml:space="preserve">Document database</t>
  </si>
  <si>
    <t xml:space="preserve">SSPL is not an OSI-approved open-source license</t>
  </si>
  <si>
    <t xml:space="preserve">MongoDB Query Language</t>
  </si>
  <si>
    <t xml:space="preserve">Redis</t>
  </si>
  <si>
    <t xml:space="preserve">In-memory data store and cache</t>
  </si>
  <si>
    <t xml:space="preserve">Redis 8 added AGPLv3; Valkey is the BSD-licensed fork</t>
  </si>
  <si>
    <t xml:space="preserve">Commands; Lua scripts</t>
  </si>
  <si>
    <t xml:space="preserve">TimescaleDB</t>
  </si>
  <si>
    <t xml:space="preserve">Time-series extension for PostgreSQL</t>
  </si>
  <si>
    <t xml:space="preserve">Some features use the Timescale License rather than Apache</t>
  </si>
  <si>
    <t xml:space="preserve">InfluxDB</t>
  </si>
  <si>
    <t xml:space="preserve">Time-series metrics database</t>
  </si>
  <si>
    <t xml:space="preserve">Version 3 Core is open; Enterprise is commercial</t>
  </si>
  <si>
    <t xml:space="preserve">Rust (version 3)</t>
  </si>
  <si>
    <t xml:space="preserve">SQL; InfluxQL</t>
  </si>
  <si>
    <t xml:space="preserve">SQLite</t>
  </si>
  <si>
    <t xml:space="preserve">Embedded single-file database</t>
  </si>
  <si>
    <t xml:space="preserve">Single-writer concurrency</t>
  </si>
  <si>
    <t xml:space="preserve">I12</t>
  </si>
  <si>
    <t xml:space="preserve">ServiceNow ITSM</t>
  </si>
  <si>
    <t xml:space="preserve">Enterprise ITSM and workflow platform</t>
  </si>
  <si>
    <t xml:space="preserve">High implementation cost</t>
  </si>
  <si>
    <t xml:space="preserve">JavaScript (Glide API)</t>
  </si>
  <si>
    <t xml:space="preserve">Jira Service Management</t>
  </si>
  <si>
    <t xml:space="preserve">Service desk on the Atlassian platform</t>
  </si>
  <si>
    <t xml:space="preserve">Atlassian is moving self-hosted customers to cloud</t>
  </si>
  <si>
    <t xml:space="preserve">Automation rules; REST API</t>
  </si>
  <si>
    <t xml:space="preserve">Freshservice</t>
  </si>
  <si>
    <t xml:space="preserve">Cloud ITSM for mid-sized organisations</t>
  </si>
  <si>
    <t xml:space="preserve">Plan tiers</t>
  </si>
  <si>
    <t xml:space="preserve">Workflow automator; REST API</t>
  </si>
  <si>
    <t xml:space="preserve">ManageEngine ServiceDesk Plus</t>
  </si>
  <si>
    <t xml:space="preserve">ITIL service desk with asset management</t>
  </si>
  <si>
    <t xml:space="preserve">Edition tiers</t>
  </si>
  <si>
    <t xml:space="preserve">Custom functions; REST API</t>
  </si>
  <si>
    <t xml:space="preserve">IT Glue</t>
  </si>
  <si>
    <t xml:space="preserve">IT documentation for MSPs</t>
  </si>
  <si>
    <t xml:space="preserve">Subscription within the Kaseya ecosystem</t>
  </si>
  <si>
    <t xml:space="preserve">GLPI</t>
  </si>
  <si>
    <t xml:space="preserve">ITSM and asset management</t>
  </si>
  <si>
    <t xml:space="preserve">Plugin quality varies</t>
  </si>
  <si>
    <t xml:space="preserve">PHP plugins; REST API</t>
  </si>
  <si>
    <t xml:space="preserve">Zammad</t>
  </si>
  <si>
    <t xml:space="preserve">Helpdesk and ticketing</t>
  </si>
  <si>
    <t xml:space="preserve">Not a full ITIL suite</t>
  </si>
  <si>
    <t xml:space="preserve">Snipe-IT</t>
  </si>
  <si>
    <t xml:space="preserve">IT asset management</t>
  </si>
  <si>
    <t xml:space="preserve">Asset-focused only</t>
  </si>
  <si>
    <t xml:space="preserve">PHP (Laravel)</t>
  </si>
  <si>
    <t xml:space="preserve">iTop</t>
  </si>
  <si>
    <t xml:space="preserve">ITSM with a configuration management database</t>
  </si>
  <si>
    <t xml:space="preserve">Data model takes time to learn</t>
  </si>
  <si>
    <t xml:space="preserve">PHP extensions; REST API</t>
  </si>
  <si>
    <t xml:space="preserve">Request Tracker</t>
  </si>
  <si>
    <t xml:space="preserve">Ticket tracking</t>
  </si>
  <si>
    <t xml:space="preserve">Perl stack to maintain</t>
  </si>
  <si>
    <t xml:space="preserve">Perl</t>
  </si>
  <si>
    <t xml:space="preserve">Perl extensions; REST API</t>
  </si>
  <si>
    <t xml:space="preserve">Engineering and IT fields with their foundations</t>
  </si>
  <si>
    <t xml:space="preserve">Fields</t>
  </si>
  <si>
    <t xml:space="preserve">Science and methods describe the field, not every listed product.</t>
  </si>
  <si>
    <t xml:space="preserve">Branch</t>
  </si>
  <si>
    <t xml:space="preserve">Subfield</t>
  </si>
  <si>
    <t xml:space="preserve">Scope</t>
  </si>
  <si>
    <t xml:space="preserve">Fundamental science</t>
  </si>
  <si>
    <t xml:space="preserve">Computational methods</t>
  </si>
  <si>
    <t xml:space="preserve">Failure modes / limits</t>
  </si>
  <si>
    <t xml:space="preserve">Open foundations to investigate</t>
  </si>
  <si>
    <t xml:space="preserve">Proposed first open product</t>
  </si>
  <si>
    <t xml:space="preserve">Verification / validation targets</t>
  </si>
  <si>
    <t xml:space="preserve">Electrical</t>
  </si>
  <si>
    <t xml:space="preserve">Power systems and load flow</t>
  </si>
  <si>
    <t xml:space="preserve">Transmission, distribution and industrial networks; voltage, loading, losses, contingencies and dispatch.</t>
  </si>
  <si>
    <t xml:space="preserve">Kirchhoff laws, complex power, per-unit quantities and network admittance. Bus injections obey S_i = V_i conjugate(sum_j Y_ij V_j).</t>
  </si>
  <si>
    <t xml:space="preserve">Newton–Raphson and sparse linear algebra; backward/forward sweep for suitable radial models; constrained nonlinear optimization for AC optimal power flow.</t>
  </si>
  <si>
    <t xml:space="preserve">A converged solution can still use wrong load models, transformer connections or operating limits. Unbalanced feeders need phase-aware models; ordinary load flow does not resolve switching transients.</t>
  </si>
  <si>
    <t xml:space="preserve">pandapower; OpenDSS; MATPOWER; GridCal; PyPSA for planning and optimization.</t>
  </si>
  <si>
    <t xml:space="preserve">A local-first single-line editor with load flow, voltage-drop plots, scenario comparison and a reproducible calculation report.</t>
  </si>
  <si>
    <t xml:space="preserve">Hand-solved two-bus case, public IEEE feeder cases, transformer phase shifts, disconnected islands and an independent solver comparison.</t>
  </si>
  <si>
    <t xml:space="preserve">Protection, faults and coordination</t>
  </si>
  <si>
    <t xml:space="preserve">Short-circuit duties, relay selectivity, breaker coordination, arc-flash studies and protection settings.</t>
  </si>
  <si>
    <t xml:space="preserve">Symmetrical components, sequence networks, equipment withstand, inverse-time curves and empirical arc-energy models.</t>
  </si>
  <si>
    <t xml:space="preserve">Fault-network solves; curve intersections; time-current plotting; rule and standards evaluation.</t>
  </si>
  <si>
    <t xml:space="preserve">Settings, CT saturation, grounding and upstream timing errors change conclusions. Arc-flash results are sensitive to fault current and clearing time. Standards and device curves are separately versioned data.</t>
  </si>
  <si>
    <t xml:space="preserve">pandapower short-circuit functions; OpenDSS fault and protection models; independently licensed curve databases.</t>
  </si>
  <si>
    <t xml:space="preserve">A coordination-curve workbench with explicit assumptions and versioned device data; add standards-specific calculations only after verification.</t>
  </si>
  <si>
    <t xml:space="preserve">Published reference fault cases, relay manufacturer curve points, pickup boundaries and independent review of units and clearing-time selection.</t>
  </si>
  <si>
    <t xml:space="preserve">Power electronics and electromagnetic transients</t>
  </si>
  <si>
    <t xml:space="preserve">Converters, inverters, switching, insulation transients, grid-forming controls and hardware-in-the-loop.</t>
  </si>
  <si>
    <t xml:space="preserve">Kirchhoff equations coupled to semiconductor, inductor and capacitor models: v=L di/dt and i=C dv/dt; nonlinear differential-algebraic equations.</t>
  </si>
  <si>
    <t xml:space="preserve">Modified nodal analysis, implicit integration, switch-event handling, averaged converter models and fixed-step real-time execution.</t>
  </si>
  <si>
    <t xml:space="preserve">Averaged models omit switching ripple; fine switching models can be expensive and stiff. Real-time execution adds deadline constraints, not automatic physical fidelity.</t>
  </si>
  <si>
    <t xml:space="preserve">ngspice; Xyce; OpenModelica; Julia/SciML for custom models.</t>
  </si>
  <si>
    <t xml:space="preserve">An offline converter workbench with loss-aware averaged and switching models and clear comparisons between them.</t>
  </si>
  <si>
    <t xml:space="preserve">Buck-converter analytical limits, RLC step response, timestep refinement, energy balance and measured switching traces.</t>
  </si>
  <si>
    <t xml:space="preserve">Control engineering and system identification</t>
  </si>
  <si>
    <t xml:space="preserve">Feedback design, tuning, estimation, model fitting, stability, optimal control and model-based implementation.</t>
  </si>
  <si>
    <t xml:space="preserve">State-space models x_dot=Ax+Bu, y=Cx+Du; transfer functions; feedback stability; probability and constrained optimization.</t>
  </si>
  <si>
    <t xml:space="preserve">Eigenvalue analysis, frequency response, numerical integration, least squares, Kalman filtering, LQR and model predictive control.</t>
  </si>
  <si>
    <t xml:space="preserve">Linearization is local. Delays, saturation, sample time, noise and actuator limits can defeat a design that looks excellent in a nominal simulation.</t>
  </si>
  <si>
    <t xml:space="preserve">python-control; SciPy; SLICOT; CasADi; do-mpc; Scilab/Xcos; OpenModelica.</t>
  </si>
  <si>
    <t xml:space="preserve">An interactive plant-identification and PID/state-space design tool with reusable experiments and exportable models.</t>
  </si>
  <si>
    <t xml:space="preserve">Analytical first/second-order systems, delayed plants, saturation and anti-windup cases, parameter uncertainty and held-out identification data.</t>
  </si>
  <si>
    <t xml:space="preserve">PLC and industrial automation</t>
  </si>
  <si>
    <t xml:space="preserve">Machine sequences, interlocks, motion, I/O configuration, commissioning and deterministic execution.</t>
  </si>
  <si>
    <t xml:space="preserve">Finite-state machines, Boolean logic, cyclic and event tasks, discrete control and real-time scheduling.</t>
  </si>
  <si>
    <t xml:space="preserve">IEC 61131 programming, compilation, scan-cycle execution, online monitoring and device/protocol mapping.</t>
  </si>
  <si>
    <t xml:space="preserve">A simulator does not reproduce every device, fieldbus or timing behavior. Safety runtimes, online changes and hardware support are separate engineering problems.</t>
  </si>
  <si>
    <t xml:space="preserve">OpenPLC; Beremiz; Eclipse 4diac for IEC 61499; open protocol stacks where licenses fit.</t>
  </si>
  <si>
    <t xml:space="preserve">An offline PLC learning and testing environment with simulated I/O, test traces and vendor-neutral project exports.</t>
  </si>
  <si>
    <t xml:space="preserve">Scan-order tests, timer semantics, restart states, dropped communications and deterministic timing on the intended runtime.</t>
  </si>
  <si>
    <t xml:space="preserve">SCADA, HMI and industrial data</t>
  </si>
  <si>
    <t xml:space="preserve">Supervisory screens, tags, alarms, historians, gateways, trends and plant-data integration.</t>
  </si>
  <si>
    <t xml:space="preserve">Distributed state, timestamped events, sampled signals, quality flags, alarm state machines and time-series storage.</t>
  </si>
  <si>
    <t xml:space="preserve">Polling and subscriptions, protocol drivers, event processing, database queries and rendering; not primarily a PDE solver.</t>
  </si>
  <si>
    <t xml:space="preserve">Clock errors, stale values, alarm flooding and missing quality metadata can mislead operators. A dashboard without device semantics is not a full SCADA platform.</t>
  </si>
  <si>
    <t xml:space="preserve">Node-RED plus a historian and HMI components; Eclipse Milo/open62541; FUXA; Rapid SCADA, with component-level license review.</t>
  </si>
  <si>
    <t xml:space="preserve">A read-only Modbus/OPC UA monitoring workbench with tag mapping, timestamps, signal quality and exportable trends.</t>
  </si>
  <si>
    <t xml:space="preserve">Communication outages, stale-data display, restart/replay behavior, alarm ordering and timestamp consistency.</t>
  </si>
  <si>
    <t xml:space="preserve">Electrical CAD, wiring and building electrical design</t>
  </si>
  <si>
    <t xml:space="preserve">Schematics, panel layouts, cable schedules, wire numbering, bills of materials and installation calculations.</t>
  </si>
  <si>
    <t xml:space="preserve">Graph connectivity, symbol semantics, geometric constraints, wiring rules and equipment metadata.</t>
  </si>
  <si>
    <t xml:space="preserve">Connectivity checking, automatic cross-references, graph traversal, cable rules and document generation.</t>
  </si>
  <si>
    <t xml:space="preserve">Drawing lines is easier than preserving electrical connectivity. Vendor symbol libraries and correct revision propagation are a large part of product value.</t>
  </si>
  <si>
    <t xml:space="preserve">QElectroTech; FreeCAD; KiCad for electronic schematics; a separately designed electrical data schema.</t>
  </si>
  <si>
    <t xml:space="preserve">A wiring and panel documentation tool with reusable symbols, automatic wire lists and consistent revisions.</t>
  </si>
  <si>
    <t xml:space="preserve">Round-trip exports, changed terminal numbers, duplicate references, disconnected wires and bill-of-material reconciliation.</t>
  </si>
  <si>
    <t xml:space="preserve">Renewables, storage and energy planning</t>
  </si>
  <si>
    <t xml:space="preserve">PV yield, wind resources, microgrids, batteries, dispatch and techno-economic scenarios.</t>
  </si>
  <si>
    <t xml:space="preserve">Solar geometry, irradiance, electrical conversion, turbine curves, storage energy balance and discounted cash flow.</t>
  </si>
  <si>
    <t xml:space="preserve">Time-series simulation, weather interpolation, loss chains, dispatch optimization and stochastic scenarios.</t>
  </si>
  <si>
    <t xml:space="preserve">Weather quality and tariff assumptions can dominate accuracy. Annual energy alone hides curtailment, intermittency and battery degradation.</t>
  </si>
  <si>
    <t xml:space="preserve">SAM; pvlib; PyPSA; OpenDSS; REopt API/source components after license checks.</t>
  </si>
  <si>
    <t xml:space="preserve">A PV-and-battery feasibility tool with transparent hourly dispatch, editable loss assumptions and uncertainty ranges.</t>
  </si>
  <si>
    <t xml:space="preserve">Energy conservation, known PV reference cases, measured monthly yield and dispatch under zero/negative prices and battery limits.</t>
  </si>
  <si>
    <t xml:space="preserve">Electronics</t>
  </si>
  <si>
    <t xml:space="preserve">Analog and mixed-signal circuits</t>
  </si>
  <si>
    <t xml:space="preserve">Amplifiers, filters, sensor circuits, power supplies, semiconductor devices and mixed analog/digital behavior.</t>
  </si>
  <si>
    <t xml:space="preserve">KCL/KVL plus nonlinear device equations; modified nodal equations G(x)x+C(x)x_dot=b.</t>
  </si>
  <si>
    <t xml:space="preserve">Newton iterations, DC operating point, AC linearization, transient integration and Monte Carlo variation.</t>
  </si>
  <si>
    <t xml:space="preserve">Convergence does not validate device models. Parasitics, operating temperature, manufacturing variation and encrypted vendor models limit portability.</t>
  </si>
  <si>
    <t xml:space="preserve">ngspice; Xyce; Qucs-S; KiCad schematic integration.</t>
  </si>
  <si>
    <t xml:space="preserve">A schematic-to-ngspice workbench with model provenance, tolerance sweeps and explainable convergence failures.</t>
  </si>
  <si>
    <t xml:space="preserve">RC/RLC analytical circuits, diode operating points, oscillator startup, timestep convergence and measured board behavior.</t>
  </si>
  <si>
    <t xml:space="preserve">PCB design and electronic packaging</t>
  </si>
  <si>
    <t xml:space="preserve">Schematic capture, component placement, routing, footprints, clearances and fabrication outputs.</t>
  </si>
  <si>
    <t xml:space="preserve">Graph connectivity, computational geometry, impedance constraints, manufacturing tolerances and stack-up models.</t>
  </si>
  <si>
    <t xml:space="preserve">Constraint checking, interactive routing, geometric collision tests and format conversion; field solvers handle detailed SI/PI.</t>
  </si>
  <si>
    <t xml:space="preserve">A correct netlist does not imply signal integrity or manufacturability. Libraries, stackups and fabrication rules must be trustworthy.</t>
  </si>
  <si>
    <t xml:space="preserve">KiCad; LibrePCB; open fabrication formats and independently maintained footprint libraries.</t>
  </si>
  <si>
    <t xml:space="preserve">Contribute workflow improvements to KiCad or build a focused review/DFM companion rather than another full PCB editor.</t>
  </si>
  <si>
    <t xml:space="preserve">Gerber/drill round trips, netlist consistency, clearance boundaries, footprint pin mapping and manufacturer fabrication checks.</t>
  </si>
  <si>
    <t xml:space="preserve">RF, antennas and electromagnetic compatibility</t>
  </si>
  <si>
    <t xml:space="preserve">Antennas, microwave components, waveguides, scattering, electromagnetic coupling and high-frequency packaging.</t>
  </si>
  <si>
    <t xml:space="preserve">Maxwell equations, wave propagation, boundary conditions, S-parameters and material dispersion.</t>
  </si>
  <si>
    <t xml:space="preserve">Finite elements, finite-difference time domain, method of moments, integral equations and hybrid ray methods.</t>
  </si>
  <si>
    <t xml:space="preserve">Mesh dispersion, port definitions, absorbing boundaries and material data can dominate error. No single EM formulation is best at every electrical size.</t>
  </si>
  <si>
    <t xml:space="preserve">openEMS; Meep; GetDP/Gmsh; scuff-em.</t>
  </si>
  <si>
    <t xml:space="preserve">An antenna workbench for a bounded geometry family with meshing presets, convergence checks and S-parameter reports.</t>
  </si>
  <si>
    <t xml:space="preserve">Dipole and waveguide analytical limits, scattering reference cases, mesh refinement and measured S-parameters.</t>
  </si>
  <si>
    <t xml:space="preserve">Signals, communications and DSP</t>
  </si>
  <si>
    <t xml:space="preserve">Sampling, filters, modulation, coding, channel models, SDR and signal processing chains.</t>
  </si>
  <si>
    <t xml:space="preserve">Fourier/z transforms, convolution, sampling theory, probability, estimation and information theory.</t>
  </si>
  <si>
    <t xml:space="preserve">FFT, FIR/IIR filtering, multirate processing, Monte Carlo BER estimation and streaming dataflow.</t>
  </si>
  <si>
    <t xml:space="preserve">Ideal simulations omit quantization, clipping, synchronization, oscillator drift and real RF impairments. Reproducible random seeds and units matter.</t>
  </si>
  <si>
    <t xml:space="preserve">GNU Radio; SciPy; liquid-dsp; FFTW; JuliaDSP.</t>
  </si>
  <si>
    <t xml:space="preserve">A visual DSP lab with inspectable blocks, recorded datasets and a reproducible code export.</t>
  </si>
  <si>
    <t xml:space="preserve">FFT normalization, filter response, analytical AWGN BER, aliasing cases and sample-rate/latency tests.</t>
  </si>
  <si>
    <t xml:space="preserve">Embedded software and instrumentation</t>
  </si>
  <si>
    <t xml:space="preserve">Microcontrollers, firmware, debugging, RTOS integration, hardware interfaces and automated test.</t>
  </si>
  <si>
    <t xml:space="preserve">Computer architecture, interrupts, concurrency, finite-state machines, sampling and real-time constraints.</t>
  </si>
  <si>
    <t xml:space="preserve">Compilers, linkers, debuggers, static analysis, instruction simulation and hardware tracing.</t>
  </si>
  <si>
    <t xml:space="preserve">Compiler success does not establish timing, stack safety or hardware correctness. Proprietary probe interfaces and peripheral models complicate replacement.</t>
  </si>
  <si>
    <t xml:space="preserve">GCC/LLVM; GDB; OpenOCD; Zephyr; PlatformIO Core; Renode; QEMU where devices are supported.</t>
  </si>
  <si>
    <t xml:space="preserve">A reproducible firmware workspace with board definitions, build manifests, simulation tests and trace capture.</t>
  </si>
  <si>
    <t xml:space="preserve">Peripheral register behavior, interrupt ordering, memory boundaries, timing tests and real-board regression cases.</t>
  </si>
  <si>
    <t xml:space="preserve">FPGA and digital hardware verification</t>
  </si>
  <si>
    <t xml:space="preserve">RTL design, logic synthesis, timing closure, simulation, formal checks and FPGA place-and-route.</t>
  </si>
  <si>
    <t xml:space="preserve">Boolean algebra, sequential logic, synchronous timing, graph optimization and satisfiability.</t>
  </si>
  <si>
    <t xml:space="preserve">HDL parsing/elaboration, event simulation, synthesis, placement, routing, static timing and SAT/SMT checking.</t>
  </si>
  <si>
    <t xml:space="preserve">Passing simulation does not prove all states. Clock-domain crossings, device-specific primitives and bitstream formats limit portability.</t>
  </si>
  <si>
    <t xml:space="preserve">Yosys; nextpnr; Verilator; GHDL; SymbiYosys; supported open FPGA flows.</t>
  </si>
  <si>
    <t xml:space="preserve">A teaching and verification workbench for supported FPGA families, with testbenches and transparent timing reports.</t>
  </si>
  <si>
    <t xml:space="preserve">RTL-to-netlist equivalence, arithmetic edge cases, reset sequencing, timing constraints and programming real supported hardware.</t>
  </si>
  <si>
    <t xml:space="preserve">IC design, physical implementation and signoff</t>
  </si>
  <si>
    <t xml:space="preserve">Analog layout, digital ASIC synthesis, physical design, timing, parasitic extraction and verification.</t>
  </si>
  <si>
    <t xml:space="preserve">Semiconductor circuit models, RC networks, Boolean optimization, graph placement and geometric design rules.</t>
  </si>
  <si>
    <t xml:space="preserve">Synthesis, floorplanning, placement/routing, extraction, DRC/LVS and statistical/timing analysis.</t>
  </si>
  <si>
    <t xml:space="preserve">A runnable design is not a manufacturable chip. Foundry PDKs, qualified rule decks, device IP and signoff acceptance create major barriers.</t>
  </si>
  <si>
    <t xml:space="preserve">OpenROAD; Yosys; KLayout; Magic; Xschem; ngspice; an appropriately licensed open PDK.</t>
  </si>
  <si>
    <t xml:space="preserve">A reproducible educational ASIC flow on one supported open PDK; keep production signoff claims out of scope.</t>
  </si>
  <si>
    <t xml:space="preserve">DRC/LVS regressions, extraction comparisons, timing checks, reproducible builds and eventual measured test-chip results.</t>
  </si>
  <si>
    <t xml:space="preserve">Electrical machines, magnetics and drives</t>
  </si>
  <si>
    <t xml:space="preserve">Motors, generators, transformers, actuators, inductors and coupled electromagnetic/thermal performance.</t>
  </si>
  <si>
    <t xml:space="preserve">Maxwell equations in quasi-static regimes; magnetic constitutive laws B(H); force/torque and thermal energy balances.</t>
  </si>
  <si>
    <t xml:space="preserve">Magnetic equivalent circuits, finite elements, rotating meshes, hysteresis/loss models and circuit coupling.</t>
  </si>
  <si>
    <t xml:space="preserve">Lamination losses, saturation, end effects, temperature and manufacturing variation are easily under-modelled. A 2D model cannot resolve every 3D effect.</t>
  </si>
  <si>
    <t xml:space="preserve">FEMM; Elmer; GetDP; Pyleecan with supported solver adapters.</t>
  </si>
  <si>
    <t xml:space="preserve">A parameterized motor/transformer design assistant with reproducible geometry and documented material data.</t>
  </si>
  <si>
    <t xml:space="preserve">Magnetic circuit limits, mesh convergence, torque consistency, measured back-EMF and loss/temperature tests.</t>
  </si>
  <si>
    <t xml:space="preserve">Mechanical</t>
  </si>
  <si>
    <t xml:space="preserve">Mechanical CAD and product geometry</t>
  </si>
  <si>
    <t xml:space="preserve">Parts, assemblies, mechanisms, drawings, dimensions and manufacturing geometry.</t>
  </si>
  <si>
    <t xml:space="preserve">Analytic geometry, boundary representation, NURBS surfaces, topology and geometric constraints.</t>
  </si>
  <si>
    <t xml:space="preserve">Sketch constraint solving, Boolean operations, surface intersections, feature history and assembly constraints.</t>
  </si>
  <si>
    <t xml:space="preserve">Robust geometry is difficult near coincident faces and tiny features. Importing a solid does not recover its original design intent or parametric history.</t>
  </si>
  <si>
    <t xml:space="preserve">FreeCAD and Open CASCADE; SolveSpace; CadQuery; build on an existing geometry kernel.</t>
  </si>
  <si>
    <t xml:space="preserve">A focused part configurator or engineering workbench on FreeCAD with open project storage.</t>
  </si>
  <si>
    <t xml:space="preserve">Watertight solids, Boolean stress cases, STEP round trips, parameter changes and dimensional drawing consistency.</t>
  </si>
  <si>
    <t xml:space="preserve">Stress, deformation and structural FEA</t>
  </si>
  <si>
    <t xml:space="preserve">Mechanical components under static, dynamic, thermal, contact and nonlinear loads.</t>
  </si>
  <si>
    <t xml:space="preserve">Continuum mechanics, constitutive laws and weak forms; linear static discretization produces K u=f.</t>
  </si>
  <si>
    <t xml:space="preserve">Finite elements, sparse factorization/Krylov solves, Newton iterations, modal analysis and implicit/explicit dynamics.</t>
  </si>
  <si>
    <t xml:space="preserve">Stress singularities can increase under mesh refinement. Contact, plasticity, constraints and material calibration matter more than a polished contour plot.</t>
  </si>
  <si>
    <t xml:space="preserve">CalculiX; Code_Aster; Elmer; Kratos; FEniCSx/deal.II for custom formulations.</t>
  </si>
  <si>
    <t xml:space="preserve">A bounded linear-static workbench with material provenance, clear boundary conditions, mesh studies and auditable reports.</t>
  </si>
  <si>
    <t xml:space="preserve">Patch test, cantilever deflection, thick/thin beam limits, analytical pressure vessel and mesh-energy convergence.</t>
  </si>
  <si>
    <t xml:space="preserve">Computational fluid dynamics</t>
  </si>
  <si>
    <t xml:space="preserve">Internal/external flow, aerodynamics, mixing, turbulence, multiphase flow and fluid-structure coupling.</t>
  </si>
  <si>
    <t xml:space="preserve">Mass, momentum and energy conservation; Navier–Stokes equations with constitutive and turbulence closure models.</t>
  </si>
  <si>
    <t xml:space="preserve">Finite volume/FEM; pressure-velocity coupling; RANS/LES; shock capture; interface tracking and parallel sparse solves.</t>
  </si>
  <si>
    <t xml:space="preserve">Residual convergence alone is insufficient. Mesh, near-wall treatment, inlet turbulence and closure assumptions determine reliability; model error remains after discretization error falls.</t>
  </si>
  <si>
    <t xml:space="preserve">OpenFOAM; SU2; Code_Saturne; OpenLB; NekRS for specialist workflows.</t>
  </si>
  <si>
    <t xml:space="preserve">A guided incompressible internal-flow application with geometry cleanup, mesh presets and pressure-drop verification.</t>
  </si>
  <si>
    <t xml:space="preserve">Poiseuille flow, cavity flow, drag references, mass conservation, mesh/time-step studies and measured pressure drop.</t>
  </si>
  <si>
    <t xml:space="preserve">Heat transfer, HVAC and building energy</t>
  </si>
  <si>
    <t xml:space="preserve">Conduction, convection, radiation, cooling loads, building operation, comfort and energy use.</t>
  </si>
  <si>
    <t xml:space="preserve">Energy conservation, heat diffusion, radiation exchange, psychrometrics and thermal resistance/capacitance networks.</t>
  </si>
  <si>
    <t xml:space="preserve">Transient heat balances, FEA/CFD, zone models, HVAC equipment maps and annual weather-driven simulation.</t>
  </si>
  <si>
    <t xml:space="preserve">A building energy model and a resolved electronics-cooling model answer different questions. Schedules, infiltration, moisture and control assumptions can dominate predictions.</t>
  </si>
  <si>
    <t xml:space="preserve">EnergyPlus; OpenStudio; Modelica Buildings; CoolProp; OpenFOAM/Elmer for resolved fields.</t>
  </si>
  <si>
    <t xml:space="preserve">A building-load and energy-study interface with explicit weather, schedules, envelope data and uncertainty.</t>
  </si>
  <si>
    <t xml:space="preserve">Analytical wall conduction, thermal RC response, energy closure and published building-energy benchmark cases.</t>
  </si>
  <si>
    <t xml:space="preserve">Multibody dynamics, vibration and mechanisms</t>
  </si>
  <si>
    <t xml:space="preserve">Linkages, suspension, machinery motion, joints, flexible bodies, contacts and vibration.</t>
  </si>
  <si>
    <t xml:space="preserve">Newton–Euler/Lagrange equations with constraints; M(q)q_ddot+C+g=Q+J^T lambda.</t>
  </si>
  <si>
    <t xml:space="preserve">Constraint stabilization, differential-algebraic integration, contact detection, modal reduction and eigenanalysis.</t>
  </si>
  <si>
    <t xml:space="preserve">Stiff contacts, redundant constraints and poorly known friction/damping create numerical and physical uncertainty. Animation quality is not dynamic accuracy.</t>
  </si>
  <si>
    <t xml:space="preserve">Project Chrono; MBDyn; OpenModelica MultiBody; Simbody.</t>
  </si>
  <si>
    <t xml:space="preserve">A mechanism explorer with joints, motor torques, flexible-body imports and explicit energy checks.</t>
  </si>
  <si>
    <t xml:space="preserve">Pendulum and four-bar cases, constraint drift, momentum/energy balance and measured modal frequencies.</t>
  </si>
  <si>
    <t xml:space="preserve">Manufacturing, CAM and process simulation</t>
  </si>
  <si>
    <t xml:space="preserve">Machining toolpaths, machine kinematics, forming, molding, casting and production process models.</t>
  </si>
  <si>
    <t xml:space="preserve">Computational geometry, rigid-body kinematics, material removal, plasticity, heat flow and fluid rheology.</t>
  </si>
  <si>
    <t xml:space="preserve">Toolpath generation, collision detection, stock removal, finite-element forming and process-specific simulation.</t>
  </si>
  <si>
    <t xml:space="preserve">A CAM postprocessor is machine-specific. Geometrically valid code may still exceed machine limits; forming and molding need calibrated material/process data.</t>
  </si>
  <si>
    <t xml:space="preserve">FreeCAD CAM; LinuxCNC for control; CAMotics for selected verification; OpenCAMLib; specialist solvers where suitable.</t>
  </si>
  <si>
    <t xml:space="preserve">A 2.5D machining workflow for one machine family, with stock simulation and reviewed postprocessor.</t>
  </si>
  <si>
    <t xml:space="preserve">G-code backplot, machine travel/acceleration limits, collision fixtures and test cuts on sacrificial stock.</t>
  </si>
  <si>
    <t xml:space="preserve">Fluid networks, piping and hydraulic systems</t>
  </si>
  <si>
    <t xml:space="preserve">Pumps, pipes, valves, compressed gas, water hammer, hydraulic machinery and lumped fluid systems.</t>
  </si>
  <si>
    <t xml:space="preserve">Mass continuity, Bernoulli/energy equations, Darcy–Weisbach losses, compressibility and thermodynamic properties.</t>
  </si>
  <si>
    <t xml:space="preserve">Nonlinear network solves, friction correlations, method of characteristics for transients and lumped ODE/DAE models.</t>
  </si>
  <si>
    <t xml:space="preserve">A steady incompressible network solver cannot predict all water-hammer, cavitation or two-phase effects. Valve closure laws and fluid properties are essential.</t>
  </si>
  <si>
    <t xml:space="preserve">EPANET; Modelica.Fluid; pandapipes; CoolProp; bespoke transient solvers after verification.</t>
  </si>
  <si>
    <t xml:space="preserve">A pump-and-pipe sizing workbench with system curves, duty-point comparisons and transparent pressure-loss calculations.</t>
  </si>
  <si>
    <t xml:space="preserve">Single-pipe Darcy losses, parallel branches, pump-curve intersections, reverse flow and benchmark surge cases.</t>
  </si>
  <si>
    <t xml:space="preserve">Fatigue, fracture and material durability</t>
  </si>
  <si>
    <t xml:space="preserve">Repeated loads, cracks, welds, composite failure and lifetime estimation.</t>
  </si>
  <si>
    <t xml:space="preserve">Stress-life/strain-life relations, rainflow cycle counting, cumulative damage, fracture mechanics and probabilistic scatter.</t>
  </si>
  <si>
    <t xml:space="preserve">Fatigue postprocessing, critical-plane analysis, crack propagation laws and constitutive/material fitting.</t>
  </si>
  <si>
    <t xml:space="preserve">Life predictions are highly sensitive to local stress, surface finish, load history and material data. A deterministic life figure conceals substantial scatter.</t>
  </si>
  <si>
    <t xml:space="preserve">Code_Aster; pyLife; fatigue libraries; FEniCSx for research formulations.</t>
  </si>
  <si>
    <t xml:space="preserve">A fatigue calculation notebook/workbench with traceable load histories, material curves and sensitivity plots.</t>
  </si>
  <si>
    <t xml:space="preserve">Known rainflow sequences, constant-amplitude life, notch cases, published coupon data and independent damage calculations.</t>
  </si>
  <si>
    <t xml:space="preserve">Civil</t>
  </si>
  <si>
    <t xml:space="preserve">Buildings and structural engineering</t>
  </si>
  <si>
    <t xml:space="preserve">Frames, slabs, foundations, seismic response and structural code checks.</t>
  </si>
  <si>
    <t xml:space="preserve">Equilibrium, compatibility, stiffness, stability, concrete/steel behavior and structural dynamics.</t>
  </si>
  <si>
    <t xml:space="preserve">Beam/shell FEM, modal and response-spectrum analysis, nonlinear time history and rule-based design checks.</t>
  </si>
  <si>
    <t xml:space="preserve">Code checks and analysis are distinct layers. Wrong supports, diaphragm assumptions, cracked stiffness or load combinations can invalidate results.</t>
  </si>
  <si>
    <t xml:space="preserve">Code_Aster; CalculiX; Frame3DD; IFC tooling; OpenSees as a license-sensitive reference.</t>
  </si>
  <si>
    <t xml:space="preserve">A 2D frame/slab analysis tool with transparent load combinations and calculation sheets for one clearly specified design basis.</t>
  </si>
  <si>
    <t xml:space="preserve">Hand frame solutions, patch tests, rigid-body checks, modal benchmarks and independent design-check verification.</t>
  </si>
  <si>
    <t xml:space="preserve">Bridge engineering and staged construction</t>
  </si>
  <si>
    <t xml:space="preserve">Bridge decks, girders, moving loads, construction sequences, creep, prestress and seismic response.</t>
  </si>
  <si>
    <t xml:space="preserve">Structural mechanics plus time-dependent materials, influence lines, prestress losses and staged boundary conditions.</t>
  </si>
  <si>
    <t xml:space="preserve">Beam/shell/solid FEM, moving-load envelopes, time stepping and staged activation.</t>
  </si>
  <si>
    <t xml:space="preserve">Final geometry alone omits construction history. Creep, shrinkage, prestress, bearing behavior and load-code implementation need careful review.</t>
  </si>
  <si>
    <t xml:space="preserve">Code_Aster; CalculiX; custom moving-load and staged-construction layers.</t>
  </si>
  <si>
    <t xml:space="preserve">A beam-bridge load-envelope tool with visible influence lines and one documented vehicle/load-code implementation.</t>
  </si>
  <si>
    <t xml:space="preserve">Analytical influence lines, moving point loads, stage-by-stage equilibrium and independently checked prestress losses.</t>
  </si>
  <si>
    <t xml:space="preserve">Geotechnical engineering and foundations</t>
  </si>
  <si>
    <t xml:space="preserve">Soil/rock stability, settlement, excavations, tunnelling, foundations and groundwater coupling.</t>
  </si>
  <si>
    <t xml:space="preserve">Effective stress, constitutive soil/rock behavior, consolidation, Darcy flow and shear strength.</t>
  </si>
  <si>
    <t xml:space="preserve">Limit equilibrium, FEM/FDM, shear-strength reduction, consolidation and staged excavation.</t>
  </si>
  <si>
    <t xml:space="preserve">Ground parameter uncertainty often dominates numerical precision. A visually detailed model cannot compensate for poor site investigation or unsuitable constitutive laws.</t>
  </si>
  <si>
    <t xml:space="preserve">Kratos/GeoMechanics; Code_Aster; Elmer; research geotechnical packages with verified licenses.</t>
  </si>
  <si>
    <t xml:space="preserve">A transparent slope-stability or shallow-foundation calculator with sensitivity ranges and documented methods.</t>
  </si>
  <si>
    <t xml:space="preserve">Published slope examples, Terzaghi consolidation, bearing-capacity limits and sensitivity to water table/material parameters.</t>
  </si>
  <si>
    <t xml:space="preserve">Water resources, hydrology and drainage</t>
  </si>
  <si>
    <t xml:space="preserve">Rainfall-runoff, rivers, floods, drainage, stormwater, water distribution and water quality.</t>
  </si>
  <si>
    <t xml:space="preserve">Catchment mass balance, infiltration, open-channel/shallow-water equations, pipe hydraulics and pollutant transport.</t>
  </si>
  <si>
    <t xml:space="preserve">Hydrograph routing, finite-volume/difference flow solvers, pipe-network iteration and advection/dispersion.</t>
  </si>
  <si>
    <t xml:space="preserve">Terrain resolution, rainfall statistics, roughness and boundary conditions can outweigh solver differences. Water distribution and catchment flooding are different model classes.</t>
  </si>
  <si>
    <t xml:space="preserve">EPA SWMM; EPANET; TELEMAC; Delft3D components; GIS integration.</t>
  </si>
  <si>
    <t xml:space="preserve">A drainage-study workbench with terrain/rainfall provenance, SWMM scenarios, maps and mass-balance diagnostics.</t>
  </si>
  <si>
    <t xml:space="preserve">Rational/unit-hydrograph checks within applicability, channel-flow references, wetting/drying cases and recorded storm events.</t>
  </si>
  <si>
    <t xml:space="preserve">Road, railway and earthworks design</t>
  </si>
  <si>
    <t xml:space="preserve">Alignments, profiles, corridors, cross-sections, earthwork quantities and road/rail geometry.</t>
  </si>
  <si>
    <t xml:space="preserve">Coordinate geometry, terrain interpolation, curve design, geometric constraints and volume integration.</t>
  </si>
  <si>
    <t xml:space="preserve">TIN surfaces, spline/clothoid curves, corridor templates, cut/fill integration and design-rule checking.</t>
  </si>
  <si>
    <t xml:space="preserve">Survey datums, breaklines and surface quality strongly affect quantities. Design criteria and corridor interoperability are separate from raw geometry.</t>
  </si>
  <si>
    <t xml:space="preserve">QGIS/GRASS; FreeCAD; GDAL/PROJ; open alignment and IFC infrastructure tooling.</t>
  </si>
  <si>
    <t xml:space="preserve">A terrain-to-alignment and cross-section tool with transparent cut/fill calculations and open data exports.</t>
  </si>
  <si>
    <t xml:space="preserve">Known volume solids, survey-coordinate transforms, cross-section integration and alignment continuity checks.</t>
  </si>
  <si>
    <t xml:space="preserve">Transportation, traffic and pedestrian simulation</t>
  </si>
  <si>
    <t xml:space="preserve">Demand models, network assignment, intersections, signals, vehicle interactions and pedestrian movement.</t>
  </si>
  <si>
    <t xml:space="preserve">Traffic-flow theory, queueing, stochastic behavior, network equilibrium and discrete agent interactions.</t>
  </si>
  <si>
    <t xml:space="preserve">Car-following/lane-changing models, mesoscopic simulation, route assignment and signal optimization.</t>
  </si>
  <si>
    <t xml:space="preserve">Animated traffic is not evidence of predictive accuracy. Demand, route choice and behavioral calibration must be tested against independent counts and travel times.</t>
  </si>
  <si>
    <t xml:space="preserve">SUMO; MATSim; AequilibraE; network/GIS libraries.</t>
  </si>
  <si>
    <t xml:space="preserve">A corridor and intersection analysis workbench around SUMO with repeatable calibration and scenario comparison.</t>
  </si>
  <si>
    <t xml:space="preserve">Flow conservation, queue formation, signal timing, multiple random seeds and held-out counts/travel-time data.</t>
  </si>
  <si>
    <t xml:space="preserve">BIM, coordination and construction information</t>
  </si>
  <si>
    <t xml:space="preserve">Building/infrastructure objects, quantities, drawings, coordination, revisions and construction sequencing.</t>
  </si>
  <si>
    <t xml:space="preserve">Semantic object models, geometry, relationships, spatial indexing, classification and information exchange.</t>
  </si>
  <si>
    <t xml:space="preserve">Parametric authoring, clash detection, model validation, quantities and schedule/model linking.</t>
  </si>
  <si>
    <t xml:space="preserve">BIM geometry is not automatically an analysis-ready model. Units, object meaning, identifiers and revision ownership are frequent integration failures.</t>
  </si>
  <si>
    <t xml:space="preserve">IfcOpenShell; Bonsai; FreeCAD BIM; Speckle components subject to exact licenses.</t>
  </si>
  <si>
    <t xml:space="preserve">An IFC review and quantity-audit tool with change tracking, model checks and transparent take-off rules.</t>
  </si>
  <si>
    <t xml:space="preserve">IFC import/export round trips, stable IDs, unit consistency, geometry/quantity comparisons and deliberate clash cases.</t>
  </si>
  <si>
    <t xml:space="preserve">Surveying, GIS and reality capture</t>
  </si>
  <si>
    <t xml:space="preserve">Coordinates, GNSS/total-station adjustment, terrain, point clouds, photogrammetry and spatial analysis.</t>
  </si>
  <si>
    <t xml:space="preserve">Geodesy, coordinate transforms, least-squares estimation, bundle adjustment, image geometry and spatial statistics.</t>
  </si>
  <si>
    <t xml:space="preserve">Network adjustment, triangulation, structure from motion, point-cloud registration and raster/vector processing.</t>
  </si>
  <si>
    <t xml:space="preserve">A low image reprojection error can coexist with a wrong datum or scale. Ground control, geoid models and positional uncertainty must remain explicit.</t>
  </si>
  <si>
    <t xml:space="preserve">QGIS; GDAL/PROJ; PDAL; CloudCompare; OpenDroneMap; MicMac.</t>
  </si>
  <si>
    <t xml:space="preserve">A survey-quality and terrain workbench with explicit coordinate reference systems and uncertainty reports.</t>
  </si>
  <si>
    <t xml:space="preserve">Known coordinate transforms, survey closures, independent checkpoints, point-cloud registration and volume comparisons.</t>
  </si>
  <si>
    <t xml:space="preserve">Cross-disciplinary</t>
  </si>
  <si>
    <t xml:space="preserve">Robotics and mechatronics</t>
  </si>
  <si>
    <t xml:space="preserve">Mechanisms plus actuators, sensors, embedded control, perception, robot programming and motion planning.</t>
  </si>
  <si>
    <t xml:space="preserve">Rigid transformations, Jacobians, inverse kinematics, constrained dynamics, estimation and motion optimization.</t>
  </si>
  <si>
    <t xml:space="preserve">Collision detection, sampling/trajectory planning, contact simulation, sensor models and controller integration.</t>
  </si>
  <si>
    <t xml:space="preserve">Simulation-to-reality gaps arise from friction, latency, flexible hardware and perception error. Industrial offline programs still need accurate calibration and controller-specific output.</t>
  </si>
  <si>
    <t xml:space="preserve">ROS 2; MoveIt; Gazebo; MuJoCo; Drake; Pinocchio; Project Chrono.</t>
  </si>
  <si>
    <t xml:space="preserve">A robot-cell simulation and calibration workbench focused on one manipulator and a bounded task.</t>
  </si>
  <si>
    <t xml:space="preserve">Forward/inverse kinematic consistency, trajectory limits, collision margins and measured pose/latency errors.</t>
  </si>
  <si>
    <t xml:space="preserve">Multiphysics and systems modelling</t>
  </si>
  <si>
    <t xml:space="preserve">Coupled electrical, mechanical, thermal and fluid behavior; system architecture and model exchange.</t>
  </si>
  <si>
    <t xml:space="preserve">Conservation laws across domains, constitutive coupling, algebraic constraints and differential-algebraic systems.</t>
  </si>
  <si>
    <t xml:space="preserve">Monolithic and partitioned solves, symbolic equation processing, co-simulation and model-order reduction.</t>
  </si>
  <si>
    <t xml:space="preserve">Two accurate standalone solvers can become unstable when coupled with poor timing or interfaces. Units, causality and energy transfer across ports must be controlled.</t>
  </si>
  <si>
    <t xml:space="preserve">OpenModelica; FEniCSx; Elmer; Kratos; MOOSE; FMI-compatible adapters.</t>
  </si>
  <si>
    <t xml:space="preserve">A common project shell connecting two verified domain solvers through typed, unit-aware interfaces.</t>
  </si>
  <si>
    <t xml:space="preserve">Coupled analytical RC/thermal example, energy consistency, step-size sensitivity and comparison to a monolithic reference.</t>
  </si>
  <si>
    <t xml:space="preserve">Numerical computing and optimization</t>
  </si>
  <si>
    <t xml:space="preserve">Engineering calculations, linear algebra, data analysis, parameter estimation, optimization and reproducible notebooks.</t>
  </si>
  <si>
    <t xml:space="preserve">Numerical analysis, conditioning, floating-point arithmetic, calculus, probability and constrained optimization.</t>
  </si>
  <si>
    <t xml:space="preserve">BLAS/LAPACK kernels, sparse solves, FFTs, numerical integration, symbolic manipulation and linear/nonlinear/mixed-integer optimization.</t>
  </si>
  <si>
    <t xml:space="preserve">A fast language cannot fix ill-conditioning or an inappropriate method. Toolbox coverage, reproducibility and trustworthy units matter as much as syntax.</t>
  </si>
  <si>
    <t xml:space="preserve">Python/NumPy/SciPy/SymPy/Jupyter; Julia/SciML/JuMP; GNU Octave; Scilab; HiGHS/IPOPT.</t>
  </si>
  <si>
    <t xml:space="preserve">An engineering calculation workspace with units, plots, versioned inputs and solver-backed worksheets; reuse an existing language.</t>
  </si>
  <si>
    <t xml:space="preserve">Conditioned/ill-conditioned linear systems, optimizer reference problems, unit checks, numerical tolerances and deterministic replay.</t>
  </si>
  <si>
    <t xml:space="preserve">Industrial systems, logistics and reliability</t>
  </si>
  <si>
    <t xml:space="preserve">Factories, queues, resource scheduling, throughput, maintenance, failure and repair processes.</t>
  </si>
  <si>
    <t xml:space="preserve">Queueing theory, probability, discrete events, Markov processes, reliability block diagrams and optimization.</t>
  </si>
  <si>
    <t xml:space="preserve">Discrete-event simulation, Monte Carlo, scheduling optimization, fault trees and statistical fitting.</t>
  </si>
  <si>
    <t xml:space="preserve">Good animation can conceal poor input distributions. Rare failures require appropriate sampling; throughput and physical process simulation are different layers.</t>
  </si>
  <si>
    <t xml:space="preserve">SimPy; salabim; JaamSim; OR-Tools; reliability libraries with checked licenses.</t>
  </si>
  <si>
    <t xml:space="preserve">An open production-flow modeller with transparent distributions, repeatable experiments and confidence intervals.</t>
  </si>
  <si>
    <t xml:space="preserve">Analytical M/M/1 queues within assumptions, resource accounting, seeded repeatability and held-out production/repair data.</t>
  </si>
  <si>
    <t xml:space="preserve">Information technology</t>
  </si>
  <si>
    <t xml:space="preserve">Network design, simulation and emulation</t>
  </si>
  <si>
    <t xml:space="preserve">Topology design, protocol behaviour, capacity planning, training labs and pre-change testing.</t>
  </si>
  <si>
    <t xml:space="preserve">Graph theory, queueing, protocol state machines (OSPF, BGP, spanning tree), TCP congestion control and traffic engineering.</t>
  </si>
  <si>
    <t xml:space="preserve">Discrete-event packet simulation; virtualised emulation of real network operating systems; Linux namespaces and containers; topology defined as code.</t>
  </si>
  <si>
    <t xml:space="preserve">Simulators approximate vendor behaviour. Emulation needs licensed images and memory. Lab results do not reproduce production scale, timing or hardware forwarding behaviour.</t>
  </si>
  <si>
    <t xml:space="preserve">containerlab; GNS3; ns-3; Mininet; FRRouting; Open vSwitch.</t>
  </si>
  <si>
    <t xml:space="preserve">A topology-as-code lab manager on containerlab with FRRouting and Open vSwitch nodes, saved scenarios and automatic reachability checks.</t>
  </si>
  <si>
    <t xml:space="preserve">Routing convergence on reference topologies, reachability matrices, link-failure injection and comparison with a physical lab.</t>
  </si>
  <si>
    <t xml:space="preserve">Network and infrastructure monitoring</t>
  </si>
  <si>
    <t xml:space="preserve">Availability, performance, capacity and alerting for networks, servers and services.</t>
  </si>
  <si>
    <t xml:space="preserve">Sampling theory, time-series statistics, the SNMP information model, counter-to-rate conversion and alert state machines.</t>
  </si>
  <si>
    <t xml:space="preserve">SNMP and ICMP polling; streaming telemetry (gNMI); flow analysis (NetFlow, IPFIX, sFlow); time-series storage and query; thresholds and anomaly detection.</t>
  </si>
  <si>
    <t xml:space="preserve">Polling intervals hide microbursts. Counter wraps and gaps distort rates. Alert floods hide real faults. Monitoring that shares a failure domain with the network goes blind during outages.</t>
  </si>
  <si>
    <t xml:space="preserve">Prometheus; Grafana; Zabbix; LibreNMS; Telegraf; VictoriaMetrics; pmacct for flows.</t>
  </si>
  <si>
    <t xml:space="preserve">A site-ready monitoring appliance image with templates for common enterprise and industrial devices and an automatic outage report.</t>
  </si>
  <si>
    <t xml:space="preserve">Simulated device outages, counter-wrap tests, known iperf3 traffic loads and alert timing and escalation tests.</t>
  </si>
  <si>
    <t xml:space="preserve">Network automation and source of truth</t>
  </si>
  <si>
    <t xml:space="preserve">Configuration generation, deployment, compliance and an authoritative record of intended network state.</t>
  </si>
  <si>
    <t xml:space="preserve">Declarative desired state, idempotence, graph models of topology and formal reasoning about forwarding and reachability.</t>
  </si>
  <si>
    <t xml:space="preserve">Templating; API and CLI drivers; diff and dry run; YANG data models; parsing vendor configuration into neutral models; control-plane simulation for verification.</t>
  </si>
  <si>
    <t xml:space="preserve">Automation repeats mistakes at scale. A stale source of truth generates wrong configuration. CLI parsing is brittle. Partial pushes leave inconsistent states.</t>
  </si>
  <si>
    <t xml:space="preserve">NetBox; Nautobot; Ansible; Nornir; NAPALM; Netmiko; Batfish; OpenConfig models.</t>
  </si>
  <si>
    <t xml:space="preserve">A source-of-truth-to-configuration pipeline: NetBox data, templates, Batfish pre-checks, staged deployment and an automatic rollback report.</t>
  </si>
  <si>
    <t xml:space="preserve">Golden configuration diffs, Batfish reachability assertions, dry-run versus applied state and rollback drills.</t>
  </si>
  <si>
    <t xml:space="preserve">Wireless, RF and link planning</t>
  </si>
  <si>
    <t xml:space="preserve">Wi-Fi design, cellular and DAS coverage, point-to-point microwave links and wireless ISP networks.</t>
  </si>
  <si>
    <t xml:space="preserve">Electromagnetic propagation, free-space path loss, Fresnel zones, terrain diffraction, fading, link budgets, SINR and Shannon capacity.</t>
  </si>
  <si>
    <t xml:space="preserve">Empirical and deterministic propagation models (Longley-Rice/ITM, Okumura-Hata, ray tracing); terrain elevation processing; coverage rasters; channel planning.</t>
  </si>
  <si>
    <t xml:space="preserve">Models need local calibration. Terrain and clutter resolution limit accuracy. Predicted coverage without a survey misleads. Permitted power and bands differ by country.</t>
  </si>
  <si>
    <t xml:space="preserve">SPLAT!; Signal-Server; NTIA ITM reference code; QGIS and GDAL; SRTM and Copernicus elevation data.</t>
  </si>
  <si>
    <t xml:space="preserve">A link-and-coverage planner for mine and rural sites: terrain profiles, Fresnel clearance, link budgets and GIS-ready coverage maps.</t>
  </si>
  <si>
    <t xml:space="preserve">Free-space analytical cases, published ITM test cases, survey measurements and measured link RSSI against prediction.</t>
  </si>
  <si>
    <t xml:space="preserve">Security monitoring, SIEM and detection</t>
  </si>
  <si>
    <t xml:space="preserve">Collecting logs and network telemetry, detecting threats, triage and incident response.</t>
  </si>
  <si>
    <t xml:space="preserve">Event correlation, statistical anomaly detection, attacker behaviour models (MITRE ATT&amp;CK) and protocol analysis.</t>
  </si>
  <si>
    <t xml:space="preserve">Log parsing and normalisation; indexing and search; correlation rules; signature-based intrusion detection; behavioural analytics; case management.</t>
  </si>
  <si>
    <t xml:space="preserve">Missing log sources create blind spots. Untuned rules flood analysts. Clock drift breaks correlation. Ingestion pricing pushes teams to drop valuable data.</t>
  </si>
  <si>
    <t xml:space="preserve">Wazuh; Suricata; Zeek; OpenSearch; Sigma rules; MISP; Security Onion components after license checks.</t>
  </si>
  <si>
    <t xml:space="preserve">A small-organisation security monitoring kit: Wazuh with Suricata and Zeek, curated Sigma rules, local playbooks and a monthly report.</t>
  </si>
  <si>
    <t xml:space="preserve">Atomic Red Team executions, replayed PCAPs with known attacks, ATT&amp;CK coverage mapping and false-positive rate on normal traffic.</t>
  </si>
  <si>
    <t xml:space="preserve">Packet analysis, vulnerability assessment and penetration testing</t>
  </si>
  <si>
    <t xml:space="preserve">Protocol troubleshooting, asset discovery, vulnerability assessment and authorised penetration testing.</t>
  </si>
  <si>
    <t xml:space="preserve">Protocol specifications, TCP/IP stack behaviour, fingerprinting, vulnerability scoring (CVSS) and attack graphs.</t>
  </si>
  <si>
    <t xml:space="preserve">Packet capture and dissection; active probing and service fingerprinting; version-to-CVE matching; authenticated configuration checks; exploit validation.</t>
  </si>
  <si>
    <t xml:space="preserve">Scans can disrupt fragile devices, especially in OT. Version matching produces false positives. Testing without written authorisation is illegal. Results go stale quickly.</t>
  </si>
  <si>
    <t xml:space="preserve">Wireshark; Nmap (license check); OpenVAS; ZAP; Nuclei; NVD and CISA KEV data feeds.</t>
  </si>
  <si>
    <t xml:space="preserve">A vulnerability reporting workbench that imports Nmap and OpenVAS results, enriches them with NVD and CISA KEV data, prioritises and produces client reports.</t>
  </si>
  <si>
    <t xml:space="preserve">Deliberately vulnerable lab targets, known CVE detection rates, false-positive review and report reproducibility.</t>
  </si>
  <si>
    <t xml:space="preserve">Industrial networks and OT security</t>
  </si>
  <si>
    <t xml:space="preserve">Plant networks, PLC and SCADA communication, OT asset inventory, segmentation and industrial threat detection.</t>
  </si>
  <si>
    <t xml:space="preserve">Industrial protocols (Modbus, DNP3, EtherNet/IP, PROFINET, IEC 61850), Purdue and zone-and-conduit models and the interaction of safety and security.</t>
  </si>
  <si>
    <t xml:space="preserve">Passive traffic analysis; industrial protocol deep packet inspection; behavioural baselining; asset fingerprinting; segmentation verification.</t>
  </si>
  <si>
    <t xml:space="preserve">Active scanning can trip controllers. Proprietary or encrypted protocols resist inspection. Flat networks spread incidents. IT patch cycles do not fit OT outage windows.</t>
  </si>
  <si>
    <t xml:space="preserve">Malcolm; Zeek with ICSNPP; Suricata; Wireshark industrial dissectors; GRASSMARLIN as historical reference only.</t>
  </si>
  <si>
    <t xml:space="preserve">A passive OT visibility kit for mine sites: span-port capture, asset inventory, protocol map and an IEC 62443 zone-and-conduit report.</t>
  </si>
  <si>
    <t xml:space="preserve">Recorded PCAPs from lab PLCs, known asset lists, injected anomalies such as unexpected writes and proof of no impact on live networks.</t>
  </si>
  <si>
    <t xml:space="preserve">Endpoint, systems and configuration management</t>
  </si>
  <si>
    <t xml:space="preserve">Device inventory, patching, software deployment, configuration baselines and remote support.</t>
  </si>
  <si>
    <t xml:space="preserve">Desired-state convergence, idempotent operations, inventory data models and scheduling.</t>
  </si>
  <si>
    <t xml:space="preserve">Agent-based and agentless execution; pull-based convergence; package management; policy evaluation; remote command execution.</t>
  </si>
  <si>
    <t xml:space="preserve">Manual changes cause drift. A bad policy reaches every device. A compromised agent compromises the fleet. Vendor license changes can strand users.</t>
  </si>
  <si>
    <t xml:space="preserve">OpenVox; Salt; Ansible; osquery; Fleet; MeshCentral; RustDesk.</t>
  </si>
  <si>
    <t xml:space="preserve">A small-business IT management bundle: osquery inventory, Ansible patching and baselines, MeshCentral remote support and one dashboard.</t>
  </si>
  <si>
    <t xml:space="preserve">Baseline compliance on test machines, canary patch rollouts, rollback and loss-of-agent scenarios.</t>
  </si>
  <si>
    <t xml:space="preserve">Virtualization and private cloud</t>
  </si>
  <si>
    <t xml:space="preserve">Server consolidation, virtual machines, software-defined storage and private cloud.</t>
  </si>
  <si>
    <t xml:space="preserve">Hardware-assisted virtualization, CPU and memory scheduling, storage replication and distributed consensus.</t>
  </si>
  <si>
    <t xml:space="preserve">Hypervisors; live migration; software-defined storage (Ceph, ZFS); clustering, high availability and quorum.</t>
  </si>
  <si>
    <t xml:space="preserve">Overcommitment causes contention. Clusters without quorum risk split-brain. Storage latency dominates performance. Vendor licensing shifts can force migrations.</t>
  </si>
  <si>
    <t xml:space="preserve">Proxmox VE; KVM, QEMU and libvirt; Ceph; ZFS; XCP-ng; OpenStack.</t>
  </si>
  <si>
    <t xml:space="preserve">A tested Proxmox reference design and VMware-to-Proxmox migration kit with documentation for small and mid-sized organisations.</t>
  </si>
  <si>
    <t xml:space="preserve">Live migration under load, node-failure HA tests, fio storage benchmarks and backup restore drills.</t>
  </si>
  <si>
    <t xml:space="preserve">DevOps, containers and infrastructure as code</t>
  </si>
  <si>
    <t xml:space="preserve">Version control, build and deployment pipelines, infrastructure as code, containers, orchestration and secrets.</t>
  </si>
  <si>
    <t xml:space="preserve">Declarative desired state, reconciliation loops, dependency graphs and distributed consensus (Raft).</t>
  </si>
  <si>
    <t xml:space="preserve">Plan-and-apply diffs; layered container images; scheduling; GitOps reconciliation; pipeline execution.</t>
  </si>
  <si>
    <t xml:space="preserve">State drift or corruption, secrets leaking through pipelines, unpinned dependencies and vendor license changes.</t>
  </si>
  <si>
    <t xml:space="preserve">OpenTofu; Kubernetes; k3s; Podman; Forgejo; Woodpecker CI; Argo CD; OpenBao.</t>
  </si>
  <si>
    <t xml:space="preserve">A self-hosted engineering platform template (Forgejo, CI, container registry, OpenTofu) that also becomes the build backbone for the Quantic suite.</t>
  </si>
  <si>
    <t xml:space="preserve">Reproducible builds, plan/apply idempotence, Git and registry disaster recovery and secret scanning.</t>
  </si>
  <si>
    <t xml:space="preserve">Databases, time series and industrial historians</t>
  </si>
  <si>
    <t xml:space="preserve">Transactional data, analytics, caching, time-series sensor data and industrial process history.</t>
  </si>
  <si>
    <t xml:space="preserve">Relational algebra, ACID transactions, B-tree and LSM indexing, consistency models and time-series compression.</t>
  </si>
  <si>
    <t xml:space="preserve">Query planning; write-ahead logging; replication; columnar storage; downsampling and retention.</t>
  </si>
  <si>
    <t xml:space="preserve">Weak schema design, missing backups, untested restores, runaway time-series cardinality and historian licensing that locks plant data in.</t>
  </si>
  <si>
    <t xml:space="preserve">PostgreSQL; TimescaleDB (license check); SQLite; Valkey; DuckDB; ClickHouse.</t>
  </si>
  <si>
    <t xml:space="preserve">An open industrial historian: OPC UA and MQTT ingestion into PostgreSQL with tag metadata, trends and export for plants priced out of commercial historians.</t>
  </si>
  <si>
    <t xml:space="preserve">Ingestion rate tests, restore drills, timestamp ordering, compression ratio and query results against raw data.</t>
  </si>
  <si>
    <t xml:space="preserve">IT service management, assets and documentation</t>
  </si>
  <si>
    <t xml:space="preserve">Incident, request, change and problem management; asset registers; documentation and knowledge.</t>
  </si>
  <si>
    <t xml:space="preserve">Queueing and service levels, workflow state machines and configuration-item relationship graphs.</t>
  </si>
  <si>
    <t xml:space="preserve">Ticket workflows; SLA timers; CMDB relationships; discovery; knowledge search.</t>
  </si>
  <si>
    <t xml:space="preserve">A CMDB decays without discovery. Heavy process burdens small teams. SaaS platforms can lock in service history.</t>
  </si>
  <si>
    <t xml:space="preserve">GLPI; Zammad; Snipe-IT; iTop; BookStack; NetBox for network assets.</t>
  </si>
  <si>
    <t xml:space="preserve">A lightweight field-service and asset system for engineering contractors: site assets, visit logs, calibration records and client reports.</t>
  </si>
  <si>
    <t xml:space="preserve">Workflow transitions, SLA timer accuracy, asset import round trips and audit-trail completeness.</t>
  </si>
  <si>
    <t xml:space="preserve">Implementation languages: evidence and hypotheses</t>
  </si>
  <si>
    <t xml:space="preserve">Core, scripting and generated-code languages are different claims.</t>
  </si>
  <si>
    <t xml:space="preserve">Product / component</t>
  </si>
  <si>
    <t xml:space="preserve">Implementation evidence</t>
  </si>
  <si>
    <t xml:space="preserve">User / extension languages</t>
  </si>
  <si>
    <t xml:space="preserve">Evidence class</t>
  </si>
  <si>
    <t xml:space="preserve">Boundary / uncertainty</t>
  </si>
  <si>
    <t xml:space="preserve">Primary reference</t>
  </si>
  <si>
    <t xml:space="preserve">Complete modern internal language mix not established</t>
  </si>
  <si>
    <t xml:space="preserve">MATLAB desktop</t>
  </si>
  <si>
    <t xml:space="preserve">Java historically; HTML/JavaScript in R2025a rebuild</t>
  </si>
  <si>
    <t xml:space="preserve">Documented implementation component</t>
  </si>
  <si>
    <t xml:space="preserve">Does not identify the numerical engine language</t>
  </si>
  <si>
    <t xml:space="preserve">Do not infer every module or browser component is Java</t>
  </si>
  <si>
    <t xml:space="preserve">Does not establish PSCAD GUI implementation</t>
  </si>
  <si>
    <t xml:space="preserve">UDF language is not a complete core-language inventory</t>
  </si>
  <si>
    <t xml:space="preserve">Subsystem-by-subsystem implementation remains unverified</t>
  </si>
  <si>
    <t xml:space="preserve">Plugins and bundled libraries have their own implementations</t>
  </si>
  <si>
    <t xml:space="preserve">Library data licensing differs from application licensing</t>
  </si>
  <si>
    <t xml:space="preserve">Choose a particular distribution and release</t>
  </si>
  <si>
    <t xml:space="preserve">EPRI engine and alternative wrappers are different components</t>
  </si>
  <si>
    <t xml:space="preserve">Python front end can call compiled numerical libraries</t>
  </si>
  <si>
    <t xml:space="preserve">Optimization solver is a separately selected dependency</t>
  </si>
  <si>
    <t xml:space="preserve">Compiler, runtime and model-library licenses differ</t>
  </si>
  <si>
    <t xml:space="preserve">Engine implementation does not identify every GUI or fork</t>
  </si>
  <si>
    <t xml:space="preserve">Separate GUI and community forks need separate checks</t>
  </si>
  <si>
    <t xml:space="preserve">Bindings and optional modules introduce dependencies</t>
  </si>
  <si>
    <t xml:space="preserve">HDL being simulated is distinct from simulator language</t>
  </si>
  <si>
    <t xml:space="preserve">Process/event model, not a continuous physics solver</t>
  </si>
  <si>
    <t xml:space="preserve">C/C++/Fortran extension support alone is not a source inventory</t>
  </si>
  <si>
    <t xml:space="preserve">Source availability is stronger evidence than a guessed commercial lineage</t>
  </si>
  <si>
    <t xml:space="preserve">API language alone does not prove complete source mix</t>
  </si>
  <si>
    <t xml:space="preserve">Python API does not establish a Python implementation</t>
  </si>
  <si>
    <t xml:space="preserve">TIA Portal / Studio 5000 / PLC IDE family</t>
  </si>
  <si>
    <t xml:space="preserve">Do not treat ladder/ST as the IDE implementation language</t>
  </si>
  <si>
    <t xml:space="preserve">Commercial CAD family</t>
  </si>
  <si>
    <t xml:space="preserve">Kernel lineage and API languages need product-specific verification</t>
  </si>
  <si>
    <t xml:space="preserve">Commercial FEA/CFD family</t>
  </si>
  <si>
    <t xml:space="preserve">No product-by-product source access was obtained</t>
  </si>
  <si>
    <t xml:space="preserve">Commercial EDA family</t>
  </si>
  <si>
    <t xml:space="preserve">Different stages in a suite are separate programs</t>
  </si>
  <si>
    <t xml:space="preserve">Capture library (libpcap/Npcap) is a separate component</t>
  </si>
  <si>
    <t xml:space="preserve">C server; PHP frontend; Go agent 2</t>
  </si>
  <si>
    <t xml:space="preserve">Templates; JavaScript preprocessing</t>
  </si>
  <si>
    <t xml:space="preserve">Components use different languages; AGPL since version 7</t>
  </si>
  <si>
    <t xml:space="preserve">Prometheus</t>
  </si>
  <si>
    <t xml:space="preserve">Grafana is a separate AGPL project</t>
  </si>
  <si>
    <t xml:space="preserve">Python scripts; REST and GraphQL</t>
  </si>
  <si>
    <t xml:space="preserve">Hosted editions add commercial components</t>
  </si>
  <si>
    <t xml:space="preserve">Collections are separately maintained and licensed</t>
  </si>
  <si>
    <t xml:space="preserve">Python client</t>
  </si>
  <si>
    <t xml:space="preserve">Parser coverage differs by vendor</t>
  </si>
  <si>
    <t xml:space="preserve">Rule sets have their own licenses</t>
  </si>
  <si>
    <t xml:space="preserve">Zeek scripting language; Spicy</t>
  </si>
  <si>
    <t xml:space="preserve">Script packages are separate projects</t>
  </si>
  <si>
    <t xml:space="preserve">Lua (NSE)</t>
  </si>
  <si>
    <t xml:space="preserve">Metasploit Pro is a separate commercial product</t>
  </si>
  <si>
    <t xml:space="preserve">Community fork; Perforce Puppet is now a separate closed fork</t>
  </si>
  <si>
    <t xml:space="preserve">Bundles KVM, QEMU, LXC and Ceph with their own licenses</t>
  </si>
  <si>
    <t xml:space="preserve">Distributions add their own components</t>
  </si>
  <si>
    <t xml:space="preserve">Providers are separate plugins with separate licenses</t>
  </si>
  <si>
    <t xml:space="preserve">Extensions such as TimescaleDB carry their own licenses</t>
  </si>
  <si>
    <t xml:space="preserve">InfluxDB 3</t>
  </si>
  <si>
    <t xml:space="preserve">Rust</t>
  </si>
  <si>
    <t xml:space="preserve">Earlier major versions used Go</t>
  </si>
  <si>
    <t xml:space="preserve">Plugins are separately maintained</t>
  </si>
  <si>
    <t xml:space="preserve">Commercial IT platform family</t>
  </si>
  <si>
    <t xml:space="preserve">Unknown; closed products</t>
  </si>
  <si>
    <t xml:space="preserve">Vendor query languages (SPL, KQL, XQL) and REST APIs</t>
  </si>
  <si>
    <t xml:space="preserve">A query language describes the interface, not the implementation</t>
  </si>
  <si>
    <t xml:space="preserve">How to use this research</t>
  </si>
  <si>
    <t xml:space="preserve">Research date</t>
  </si>
  <si>
    <t xml:space="preserve">7 October 2026. Current editions, sales status, exact licenses and technical support must be checked before selecting a dependency or purchasing software.</t>
  </si>
  <si>
    <t xml:space="preserve">48 practical subfields: 36 engineering subfields plus 12 information technology subfields, with ten entries per field. The catalogue has 480 field-tool entries, including repeated families, modules and toolchains.</t>
  </si>
  <si>
    <t xml:space="preserve">Top ten means</t>
  </si>
  <si>
    <t xml:space="preserve">Unranked research shortlist: relevance, established workflows, specialist capability and value as an open implementation reference. No market-share ranking or hands-on benchmark is claimed.</t>
  </si>
  <si>
    <t xml:space="preserve">Proprietary commercial product or module.</t>
  </si>
  <si>
    <t xml:space="preserve">No-cost proprietary software/IDE. Free access does not mean open-source implementation.</t>
  </si>
  <si>
    <t xml:space="preserve">Open-source project; inspect exact release, dependency and model/data licenses.</t>
  </si>
  <si>
    <t xml:space="preserve">M / O/M</t>
  </si>
  <si>
    <t xml:space="preserve">Mixed editions, component-dependent terms, or an open core with commercial additions.</t>
  </si>
  <si>
    <t xml:space="preserve">Source available with restrictions. OpenSees published redistribution terms need particular attention.</t>
  </si>
  <si>
    <t xml:space="preserve">The retrieved public evidence names the product or its family. This does not validate every edition, feature, license term or implementation detail.</t>
  </si>
  <si>
    <t xml:space="preserve">An official vendor page was located, but this pass did not establish specific product details from that page.</t>
  </si>
  <si>
    <t xml:space="preserve">A credible discovery lead remains; direct product evidence was not established in this retrieval pass. Treat it as a candidate, not a verified current offering.</t>
  </si>
  <si>
    <t xml:space="preserve">Used in the IT branch for well-established products named from analyst knowledge. The official link is supplied but was not retrieved in this pass; confirm edition, license and status before relying on it.</t>
  </si>
  <si>
    <t xml:space="preserve">Source links</t>
  </si>
  <si>
    <t xml:space="preserve">Official discovery link gives the product/project/vendor destination. Retrieved source records the evidence used; unresolved rows carry the discovery lead.</t>
  </si>
  <si>
    <t xml:space="preserve">Documented components, interfaces and hypotheses are kept separate. User-facing Python, MATLAB, HDL or PLC languages do not identify an application core.</t>
  </si>
  <si>
    <t xml:space="preserve">Open foundations</t>
  </si>
  <si>
    <t xml:space="preserve">These are integration candidates, not a ready-made license-compatible bundle. Scientific validity, installation, interfaces and exact release licenses still need evaluation.</t>
  </si>
  <si>
    <t xml:space="preserve">IT branch</t>
  </si>
  <si>
    <t xml:space="preserve">Added 7 October 2026: networking, monitoring, automation, wireless planning, security, OT security, endpoint management, virtualization, DevOps, databases and IT service management. Open source already dominates much IT infrastructure, so the IT opportunity is mostly integration, packaging and services.</t>
  </si>
  <si>
    <t xml:space="preserve">Best-fit job and boundaries</t>
  </si>
  <si>
    <t xml:space="preserve">Engineering interpretation of intended role and practical limits. No comparative speed, accuracy or reliability tests were run.</t>
  </si>
  <si>
    <t xml:space="preserve">Using the file</t>
  </si>
  <si>
    <t xml:space="preserve">Filter Catalogue by Field ID, Access or Source coverage. Field map explains each field and the proposed open product. Languages gives the evidence behind implementation claims. IT fields use the Field ID prefix I.</t>
  </si>
  <si>
    <t xml:space="preserve">Numerical verification</t>
  </si>
  <si>
    <t xml:space="preserve">Use analytical cases, published benchmarks, independent comparisons, mesh/time-step studies and physical measurements as appropriate.</t>
  </si>
  <si>
    <t xml:space="preserve">Recommended first build</t>
  </si>
  <si>
    <t xml:space="preserve">A small power-study workbench using pandapower or OpenDSS, selected by study scope; include diagrams, diagnostics, scenarios and a reproducible report.</t>
  </si>
  <si>
    <t xml:space="preserve">License shifts</t>
  </si>
  <si>
    <t xml:space="preserve">Terraform, Vault, Redis, Elastic, Puppet and VMware all changed terms between 2023 and 2025. Prefer foundation-governed projects and keep an exit plan for every dependency.</t>
  </si>
  <si>
    <t xml:space="preserve">Primary companion</t>
  </si>
  <si>
    <t xml:space="preserve">Engineering-Software-Atlas.md contains the detailed science, MATLAB history, architecture, field shortlists and implementation strategy.</t>
  </si>
  <si>
    <t xml:space="preserve">Update method</t>
  </si>
  <si>
    <t xml:space="preserve">Preserve the Field ID; update product and evidence cells together. Counts use whole-column formulas, so appended Catalogue rows are counted automatically.</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</si>
</sst>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1F2A44"/>
      <name val="Arial"/>
      <family val="0"/>
      <charset val="1"/>
    </font>
    <font>
      <b val="true"/>
      <sz val="10"/>
      <name val="Arial"/>
      <family val="0"/>
      <charset val="1"/>
    </font>
    <font>
      <i val="true"/>
      <sz val="10"/>
      <color rgb="FF555555"/>
      <name val="Arial"/>
      <family val="0"/>
      <charset val="1"/>
    </font>
    <font>
      <b val="true"/>
      <sz val="10"/>
      <color rgb="FFFFFFFF"/>
      <name val="Arial"/>
      <family val="0"/>
      <charset val="1"/>
    </font>
    <font>
      <sz val="10"/>
      <name val="Arial"/>
      <family val="0"/>
      <charset val="1"/>
    </font>
    <font>
      <u val="single"/>
      <sz val="10"/>
      <color rgb="FF0563C1"/>
      <name val="Arial"/>
      <family val="0"/>
      <charset val="1"/>
    </font>
  </fonts>
  <fills count="4">
    <fill>
      <patternFill patternType="none"/>
    </fill>
    <fill>
      <patternFill patternType="gray125"/>
    </fill>
    <fill>
      <patternFill patternType="solid">
        <fgColor rgb="FF1F2A44"/>
        <bgColor rgb="FF003366"/>
      </patternFill>
    </fill>
    <fill>
      <patternFill patternType="solid">
        <fgColor rgb="FFEEF4FB"/>
        <bgColor rgb="FFFFFFFF"/>
      </patternFill>
    </fill>
  </fills>
  <borders count="2">
    <border diagonalUp="false" diagonalDown="false">
      <left/>
      <right/>
      <top/>
      <bottom/>
      <diagonal/>
    </border>
    <border diagonalUp="false" diagonalDown="false">
      <left/>
      <right/>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2A44"/>
          <bgColor rgb="FF000000"/>
        </patternFill>
      </fill>
    </dxf>
    <dxf>
      <fill>
        <patternFill patternType="solid">
          <fgColor rgb="FFEEF4FB"/>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EF4FB"/>
      <rgbColor rgb="FFCCFFFF"/>
      <rgbColor rgb="FF660066"/>
      <rgbColor rgb="FFFF8080"/>
      <rgbColor rgb="FF0563C1"/>
      <rgbColor rgb="FFD0D5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8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0"/>
    <col collapsed="false" customWidth="true" hidden="false" outlineLevel="0" max="3" min="3" style="0" width="8"/>
    <col collapsed="false" customWidth="true" hidden="false" outlineLevel="0" max="4" min="4" style="0" width="34"/>
    <col collapsed="false" customWidth="true" hidden="false" outlineLevel="0" max="5" min="5" style="0" width="38"/>
    <col collapsed="false" customWidth="true" hidden="false" outlineLevel="0" max="6" min="6" style="0" width="36"/>
    <col collapsed="false" customWidth="true" hidden="false" outlineLevel="0" max="7" min="7" style="0" width="32"/>
    <col collapsed="false" customWidth="true" hidden="false" outlineLevel="0" max="8" min="8" style="0" width="28"/>
    <col collapsed="false" customWidth="true" hidden="false" outlineLevel="0" max="9" min="9" style="0" width="26"/>
    <col collapsed="false" customWidth="true" hidden="false" outlineLevel="0" max="10" min="10" style="0" width="16"/>
    <col collapsed="false" customWidth="true" hidden="false" outlineLevel="0" max="12" min="11" style="0" width="18"/>
  </cols>
  <sheetData>
    <row r="1" customFormat="false" ht="17.35" hidden="false" customHeight="false" outlineLevel="0" collapsed="false">
      <c r="A1" s="1" t="s">
        <v>0</v>
      </c>
    </row>
    <row r="3" customFormat="false" ht="15" hidden="false" customHeight="false" outlineLevel="0" collapsed="false">
      <c r="A3" s="2" t="s">
        <v>1</v>
      </c>
      <c r="B3" s="2" t="n">
        <f aca="false">COUNTA(A6:A985)</f>
        <v>480</v>
      </c>
      <c r="D3" s="3" t="s">
        <v>2</v>
      </c>
    </row>
    <row r="5" customFormat="false" ht="23.85" hidden="false" customHeight="false" outlineLevel="0" collapsed="false">
      <c r="A5" s="4" t="s">
        <v>3</v>
      </c>
      <c r="B5" s="4" t="s">
        <v>4</v>
      </c>
      <c r="C5" s="4" t="s">
        <v>5</v>
      </c>
      <c r="D5" s="4" t="s">
        <v>6</v>
      </c>
      <c r="E5" s="4" t="s">
        <v>7</v>
      </c>
      <c r="F5" s="4" t="s">
        <v>8</v>
      </c>
      <c r="G5" s="4" t="s">
        <v>9</v>
      </c>
      <c r="H5" s="4" t="s">
        <v>10</v>
      </c>
      <c r="I5" s="4" t="s">
        <v>11</v>
      </c>
      <c r="J5" s="4" t="s">
        <v>12</v>
      </c>
      <c r="K5" s="4" t="s">
        <v>13</v>
      </c>
      <c r="L5" s="4" t="s">
        <v>14</v>
      </c>
    </row>
    <row r="6" customFormat="false" ht="23.85" hidden="false" customHeight="false" outlineLevel="0" collapsed="false">
      <c r="A6" s="5" t="s">
        <v>15</v>
      </c>
      <c r="B6" s="5" t="s">
        <v>16</v>
      </c>
      <c r="C6" s="5" t="s">
        <v>17</v>
      </c>
      <c r="D6" s="5" t="s">
        <v>18</v>
      </c>
      <c r="E6" s="5" t="s">
        <v>19</v>
      </c>
      <c r="F6" s="5" t="s">
        <v>20</v>
      </c>
      <c r="G6" s="5" t="s">
        <v>21</v>
      </c>
      <c r="H6" s="5" t="s">
        <v>22</v>
      </c>
      <c r="I6" s="5" t="s">
        <v>23</v>
      </c>
      <c r="J6" s="6" t="str">
        <f aca="false">HYPERLINK("https://etap.com/solutions/power-system-analysis","Official site")</f>
        <v>Official site</v>
      </c>
      <c r="K6" s="6" t="str">
        <f aca="false">HYPERLINK("https://etap.com/product/load-flow-software","Evidence / lead")</f>
        <v>Evidence / lead</v>
      </c>
      <c r="L6" s="6" t="str">
        <f aca="false">HYPERLINK("https://www.ansys.com/products","Language source")</f>
        <v>Language source</v>
      </c>
    </row>
    <row r="7" customFormat="false" ht="23.85" hidden="false" customHeight="false" outlineLevel="0" collapsed="false">
      <c r="A7" s="5" t="s">
        <v>15</v>
      </c>
      <c r="B7" s="5" t="s">
        <v>24</v>
      </c>
      <c r="C7" s="5" t="s">
        <v>17</v>
      </c>
      <c r="D7" s="5" t="s">
        <v>25</v>
      </c>
      <c r="E7" s="5" t="s">
        <v>26</v>
      </c>
      <c r="F7" s="5" t="s">
        <v>20</v>
      </c>
      <c r="G7" s="5" t="s">
        <v>21</v>
      </c>
      <c r="H7" s="5" t="s">
        <v>22</v>
      </c>
      <c r="I7" s="5" t="s">
        <v>23</v>
      </c>
      <c r="J7" s="6" t="str">
        <f aca="false">HYPERLINK("https://www.digsilent.de/en/functions.html","Official site")</f>
        <v>Official site</v>
      </c>
      <c r="K7" s="6" t="str">
        <f aca="false">HYPERLINK("https://www.digsilent.de/en/faq-reader-powerfactory/where-can-i-get-an-overview-list-showing-all-powerfactory-functions.html","Evidence / lead")</f>
        <v>Evidence / lead</v>
      </c>
      <c r="L7" s="6" t="str">
        <f aca="false">HYPERLINK("https://www.ansys.com/products","Language source")</f>
        <v>Language source</v>
      </c>
    </row>
    <row r="8" customFormat="false" ht="23.85" hidden="false" customHeight="false" outlineLevel="0" collapsed="false">
      <c r="A8" s="5" t="s">
        <v>15</v>
      </c>
      <c r="B8" s="5" t="s">
        <v>27</v>
      </c>
      <c r="C8" s="5" t="s">
        <v>17</v>
      </c>
      <c r="D8" s="5" t="s">
        <v>28</v>
      </c>
      <c r="E8" s="5" t="s">
        <v>29</v>
      </c>
      <c r="F8" s="5" t="s">
        <v>20</v>
      </c>
      <c r="G8" s="5" t="s">
        <v>21</v>
      </c>
      <c r="H8" s="5" t="s">
        <v>22</v>
      </c>
      <c r="I8" s="5" t="s">
        <v>30</v>
      </c>
      <c r="J8" s="6" t="str">
        <f aca="false">HYPERLINK("https://www.siemens.com/","Official site")</f>
        <v>Official site</v>
      </c>
      <c r="K8" s="6" t="str">
        <f aca="false">HYPERLINK("https://www.siemens.com/en-gb/products/tia-portal/step7/","Evidence / lead")</f>
        <v>Evidence / lead</v>
      </c>
      <c r="L8" s="6" t="str">
        <f aca="false">HYPERLINK("https://www.ansys.com/products","Language source")</f>
        <v>Language source</v>
      </c>
    </row>
    <row r="9" customFormat="false" ht="23.85" hidden="false" customHeight="false" outlineLevel="0" collapsed="false">
      <c r="A9" s="5" t="s">
        <v>15</v>
      </c>
      <c r="B9" s="5" t="s">
        <v>31</v>
      </c>
      <c r="C9" s="5" t="s">
        <v>17</v>
      </c>
      <c r="D9" s="5" t="s">
        <v>32</v>
      </c>
      <c r="E9" s="5" t="s">
        <v>33</v>
      </c>
      <c r="F9" s="5" t="s">
        <v>20</v>
      </c>
      <c r="G9" s="5" t="s">
        <v>21</v>
      </c>
      <c r="H9" s="5" t="s">
        <v>22</v>
      </c>
      <c r="I9" s="5" t="s">
        <v>23</v>
      </c>
      <c r="J9" s="6" t="str">
        <f aca="false">HYPERLINK("https://www.powerworld.com/","Official site")</f>
        <v>Official site</v>
      </c>
      <c r="K9" s="6" t="str">
        <f aca="false">HYPERLINK("https://www.powerworld.com/","Evidence / lead")</f>
        <v>Evidence / lead</v>
      </c>
      <c r="L9" s="6" t="str">
        <f aca="false">HYPERLINK("https://www.ansys.com/products","Language source")</f>
        <v>Language source</v>
      </c>
    </row>
    <row r="10" customFormat="false" ht="23.85" hidden="false" customHeight="false" outlineLevel="0" collapsed="false">
      <c r="A10" s="5" t="s">
        <v>15</v>
      </c>
      <c r="B10" s="5" t="s">
        <v>34</v>
      </c>
      <c r="C10" s="5" t="s">
        <v>17</v>
      </c>
      <c r="D10" s="5" t="s">
        <v>35</v>
      </c>
      <c r="E10" s="5" t="s">
        <v>36</v>
      </c>
      <c r="F10" s="5" t="s">
        <v>20</v>
      </c>
      <c r="G10" s="5" t="s">
        <v>21</v>
      </c>
      <c r="H10" s="5" t="s">
        <v>22</v>
      </c>
      <c r="I10" s="5" t="s">
        <v>37</v>
      </c>
      <c r="J10" s="6" t="str">
        <f aca="false">HYPERLINK("https://www.cyme.com/","Official site")</f>
        <v>Official site</v>
      </c>
      <c r="K10" s="6" t="str">
        <f aca="false">HYPERLINK("https://www.cyme.com/","Evidence / lead")</f>
        <v>Evidence / lead</v>
      </c>
      <c r="L10" s="6" t="str">
        <f aca="false">HYPERLINK("https://www.ansys.com/products","Language source")</f>
        <v>Language source</v>
      </c>
    </row>
    <row r="11" customFormat="false" ht="23.85" hidden="false" customHeight="false" outlineLevel="0" collapsed="false">
      <c r="A11" s="5" t="s">
        <v>15</v>
      </c>
      <c r="B11" s="5" t="s">
        <v>38</v>
      </c>
      <c r="C11" s="5" t="s">
        <v>17</v>
      </c>
      <c r="D11" s="5" t="s">
        <v>39</v>
      </c>
      <c r="E11" s="5" t="s">
        <v>40</v>
      </c>
      <c r="F11" s="5" t="s">
        <v>20</v>
      </c>
      <c r="G11" s="5" t="s">
        <v>21</v>
      </c>
      <c r="H11" s="5" t="s">
        <v>22</v>
      </c>
      <c r="I11" s="5" t="s">
        <v>30</v>
      </c>
      <c r="J11" s="6" t="str">
        <f aca="false">HYPERLINK("https://www.dnv.com/","Official site")</f>
        <v>Official site</v>
      </c>
      <c r="K11" s="6" t="str">
        <f aca="false">HYPERLINK("https://www.dnv.com/","Evidence / lead")</f>
        <v>Evidence / lead</v>
      </c>
      <c r="L11" s="6" t="str">
        <f aca="false">HYPERLINK("https://www.ansys.com/products","Language source")</f>
        <v>Language source</v>
      </c>
    </row>
    <row r="12" customFormat="false" ht="23.85" hidden="false" customHeight="false" outlineLevel="0" collapsed="false">
      <c r="A12" s="5" t="s">
        <v>15</v>
      </c>
      <c r="B12" s="5" t="s">
        <v>41</v>
      </c>
      <c r="C12" s="5" t="s">
        <v>17</v>
      </c>
      <c r="D12" s="5" t="s">
        <v>42</v>
      </c>
      <c r="E12" s="5" t="s">
        <v>43</v>
      </c>
      <c r="F12" s="5" t="s">
        <v>20</v>
      </c>
      <c r="G12" s="5" t="s">
        <v>21</v>
      </c>
      <c r="H12" s="5" t="s">
        <v>22</v>
      </c>
      <c r="I12" s="5" t="s">
        <v>23</v>
      </c>
      <c r="J12" s="6" t="str">
        <f aca="false">HYPERLINK("https://www.skm.com/","Official site")</f>
        <v>Official site</v>
      </c>
      <c r="K12" s="6" t="str">
        <f aca="false">HYPERLINK("https://www.skm.com/","Evidence / lead")</f>
        <v>Evidence / lead</v>
      </c>
      <c r="L12" s="6" t="str">
        <f aca="false">HYPERLINK("https://www.ansys.com/products","Language source")</f>
        <v>Language source</v>
      </c>
    </row>
    <row r="13" customFormat="false" ht="23.85" hidden="false" customHeight="false" outlineLevel="0" collapsed="false">
      <c r="A13" s="5" t="s">
        <v>15</v>
      </c>
      <c r="B13" s="5" t="s">
        <v>44</v>
      </c>
      <c r="C13" s="5" t="s">
        <v>17</v>
      </c>
      <c r="D13" s="5" t="s">
        <v>45</v>
      </c>
      <c r="E13" s="5" t="s">
        <v>46</v>
      </c>
      <c r="F13" s="5" t="s">
        <v>20</v>
      </c>
      <c r="G13" s="5" t="s">
        <v>21</v>
      </c>
      <c r="H13" s="5" t="s">
        <v>22</v>
      </c>
      <c r="I13" s="5" t="s">
        <v>37</v>
      </c>
      <c r="J13" s="6" t="str">
        <f aca="false">HYPERLINK("https://www.neplan.ch/","Official site")</f>
        <v>Official site</v>
      </c>
      <c r="K13" s="6" t="str">
        <f aca="false">HYPERLINK("https://www.neplan.ch/","Evidence / lead")</f>
        <v>Evidence / lead</v>
      </c>
      <c r="L13" s="6" t="str">
        <f aca="false">HYPERLINK("https://www.ansys.com/products","Language source")</f>
        <v>Language source</v>
      </c>
    </row>
    <row r="14" customFormat="false" ht="23.85" hidden="false" customHeight="false" outlineLevel="0" collapsed="false">
      <c r="A14" s="5" t="s">
        <v>15</v>
      </c>
      <c r="B14" s="5" t="s">
        <v>47</v>
      </c>
      <c r="C14" s="5" t="s">
        <v>48</v>
      </c>
      <c r="D14" s="5" t="s">
        <v>49</v>
      </c>
      <c r="E14" s="5" t="s">
        <v>50</v>
      </c>
      <c r="F14" s="5" t="s">
        <v>51</v>
      </c>
      <c r="G14" s="5" t="s">
        <v>52</v>
      </c>
      <c r="H14" s="5" t="s">
        <v>53</v>
      </c>
      <c r="I14" s="5" t="s">
        <v>23</v>
      </c>
      <c r="J14" s="6" t="str">
        <f aca="false">HYPERLINK("https://sourceforge.net/projects/electricdss/","Official site")</f>
        <v>Official site</v>
      </c>
      <c r="K14" s="6" t="str">
        <f aca="false">HYPERLINK("https://sourceforge.net/projects/electricdss/files/OpenDSSCmd/license.txt/download","Evidence / lead")</f>
        <v>Evidence / lead</v>
      </c>
      <c r="L14" s="6" t="str">
        <f aca="false">HYPERLINK("https://sourceforge.net/projects/electricdss/files/OpenDSS/","Language source")</f>
        <v>Language source</v>
      </c>
    </row>
    <row r="15" customFormat="false" ht="23.85" hidden="false" customHeight="false" outlineLevel="0" collapsed="false">
      <c r="A15" s="5" t="s">
        <v>15</v>
      </c>
      <c r="B15" s="5" t="s">
        <v>54</v>
      </c>
      <c r="C15" s="5" t="s">
        <v>48</v>
      </c>
      <c r="D15" s="5" t="s">
        <v>55</v>
      </c>
      <c r="E15" s="5" t="s">
        <v>56</v>
      </c>
      <c r="F15" s="5" t="s">
        <v>57</v>
      </c>
      <c r="G15" s="5" t="s">
        <v>58</v>
      </c>
      <c r="H15" s="5" t="s">
        <v>59</v>
      </c>
      <c r="I15" s="5" t="s">
        <v>23</v>
      </c>
      <c r="J15" s="6" t="str">
        <f aca="false">HYPERLINK("https://www.pandapower.org/","Official site")</f>
        <v>Official site</v>
      </c>
      <c r="K15" s="6" t="str">
        <f aca="false">HYPERLINK("https://www.pandapower.org/","Evidence / lead")</f>
        <v>Evidence / lead</v>
      </c>
      <c r="L15" s="6" t="str">
        <f aca="false">HYPERLINK("https://www.pandapower.org/","Language source")</f>
        <v>Language source</v>
      </c>
    </row>
    <row r="16" customFormat="false" ht="23.85" hidden="false" customHeight="false" outlineLevel="0" collapsed="false">
      <c r="A16" s="5" t="s">
        <v>60</v>
      </c>
      <c r="B16" s="5" t="s">
        <v>61</v>
      </c>
      <c r="C16" s="5" t="s">
        <v>17</v>
      </c>
      <c r="D16" s="5" t="s">
        <v>62</v>
      </c>
      <c r="E16" s="5" t="s">
        <v>63</v>
      </c>
      <c r="F16" s="5" t="s">
        <v>20</v>
      </c>
      <c r="G16" s="5" t="s">
        <v>21</v>
      </c>
      <c r="H16" s="5" t="s">
        <v>22</v>
      </c>
      <c r="I16" s="5" t="s">
        <v>23</v>
      </c>
      <c r="J16" s="6" t="str">
        <f aca="false">HYPERLINK("https://etap.com/","Official site")</f>
        <v>Official site</v>
      </c>
      <c r="K16" s="6" t="str">
        <f aca="false">HYPERLINK("https://etap.com/solutions/power-system-analysis-optimization","Evidence / lead")</f>
        <v>Evidence / lead</v>
      </c>
      <c r="L16" s="6" t="str">
        <f aca="false">HYPERLINK("https://www.ansys.com/products","Language source")</f>
        <v>Language source</v>
      </c>
    </row>
    <row r="17" customFormat="false" ht="23.85" hidden="false" customHeight="false" outlineLevel="0" collapsed="false">
      <c r="A17" s="5" t="s">
        <v>60</v>
      </c>
      <c r="B17" s="5" t="s">
        <v>64</v>
      </c>
      <c r="C17" s="5" t="s">
        <v>17</v>
      </c>
      <c r="D17" s="5" t="s">
        <v>65</v>
      </c>
      <c r="E17" s="5" t="s">
        <v>66</v>
      </c>
      <c r="F17" s="5" t="s">
        <v>20</v>
      </c>
      <c r="G17" s="5" t="s">
        <v>21</v>
      </c>
      <c r="H17" s="5" t="s">
        <v>22</v>
      </c>
      <c r="I17" s="5" t="s">
        <v>23</v>
      </c>
      <c r="J17" s="6" t="str">
        <f aca="false">HYPERLINK("https://www.skm.com/","Official site")</f>
        <v>Official site</v>
      </c>
      <c r="K17" s="6" t="str">
        <f aca="false">HYPERLINK("https://www.skm.com/","Evidence / lead")</f>
        <v>Evidence / lead</v>
      </c>
      <c r="L17" s="6" t="str">
        <f aca="false">HYPERLINK("https://www.ansys.com/products","Language source")</f>
        <v>Language source</v>
      </c>
    </row>
    <row r="18" customFormat="false" ht="23.85" hidden="false" customHeight="false" outlineLevel="0" collapsed="false">
      <c r="A18" s="5" t="s">
        <v>60</v>
      </c>
      <c r="B18" s="5" t="s">
        <v>67</v>
      </c>
      <c r="C18" s="5" t="s">
        <v>17</v>
      </c>
      <c r="D18" s="5" t="s">
        <v>68</v>
      </c>
      <c r="E18" s="5" t="s">
        <v>69</v>
      </c>
      <c r="F18" s="5" t="s">
        <v>20</v>
      </c>
      <c r="G18" s="5" t="s">
        <v>21</v>
      </c>
      <c r="H18" s="5" t="s">
        <v>22</v>
      </c>
      <c r="I18" s="5" t="s">
        <v>23</v>
      </c>
      <c r="J18" s="6" t="str">
        <f aca="false">HYPERLINK("https://www.easypower.com/","Official site")</f>
        <v>Official site</v>
      </c>
      <c r="K18" s="6" t="str">
        <f aca="false">HYPERLINK("https://www.easypower.com/","Evidence / lead")</f>
        <v>Evidence / lead</v>
      </c>
      <c r="L18" s="6" t="str">
        <f aca="false">HYPERLINK("https://www.ansys.com/products","Language source")</f>
        <v>Language source</v>
      </c>
    </row>
    <row r="19" customFormat="false" ht="23.85" hidden="false" customHeight="false" outlineLevel="0" collapsed="false">
      <c r="A19" s="5" t="s">
        <v>60</v>
      </c>
      <c r="B19" s="5" t="s">
        <v>70</v>
      </c>
      <c r="C19" s="5" t="s">
        <v>17</v>
      </c>
      <c r="D19" s="5" t="s">
        <v>71</v>
      </c>
      <c r="E19" s="5" t="s">
        <v>72</v>
      </c>
      <c r="F19" s="5" t="s">
        <v>20</v>
      </c>
      <c r="G19" s="5" t="s">
        <v>21</v>
      </c>
      <c r="H19" s="5" t="s">
        <v>22</v>
      </c>
      <c r="I19" s="5" t="s">
        <v>23</v>
      </c>
      <c r="J19" s="6" t="str">
        <f aca="false">HYPERLINK("https://www.digsilent.de/en/functions.html","Official site")</f>
        <v>Official site</v>
      </c>
      <c r="K19" s="6" t="str">
        <f aca="false">HYPERLINK("https://www.digsilent.de/en/faq-reader-powerfactory/where-can-i-get-an-overview-list-showing-all-powerfactory-functions.html","Evidence / lead")</f>
        <v>Evidence / lead</v>
      </c>
      <c r="L19" s="6" t="str">
        <f aca="false">HYPERLINK("https://www.ansys.com/products","Language source")</f>
        <v>Language source</v>
      </c>
    </row>
    <row r="20" customFormat="false" ht="23.85" hidden="false" customHeight="false" outlineLevel="0" collapsed="false">
      <c r="A20" s="5" t="s">
        <v>60</v>
      </c>
      <c r="B20" s="5" t="s">
        <v>73</v>
      </c>
      <c r="C20" s="5" t="s">
        <v>17</v>
      </c>
      <c r="D20" s="5" t="s">
        <v>74</v>
      </c>
      <c r="E20" s="5" t="s">
        <v>75</v>
      </c>
      <c r="F20" s="5" t="s">
        <v>20</v>
      </c>
      <c r="G20" s="5" t="s">
        <v>21</v>
      </c>
      <c r="H20" s="5" t="s">
        <v>22</v>
      </c>
      <c r="I20" s="5" t="s">
        <v>23</v>
      </c>
      <c r="J20" s="6" t="str">
        <f aca="false">HYPERLINK("https://www.aspeninc.com/","Official site")</f>
        <v>Official site</v>
      </c>
      <c r="K20" s="6" t="str">
        <f aca="false">HYPERLINK("https://www.aspeninc.com/","Evidence / lead")</f>
        <v>Evidence / lead</v>
      </c>
      <c r="L20" s="6" t="str">
        <f aca="false">HYPERLINK("https://www.ansys.com/products","Language source")</f>
        <v>Language source</v>
      </c>
    </row>
    <row r="21" customFormat="false" ht="23.85" hidden="false" customHeight="false" outlineLevel="0" collapsed="false">
      <c r="A21" s="5" t="s">
        <v>60</v>
      </c>
      <c r="B21" s="5" t="s">
        <v>76</v>
      </c>
      <c r="C21" s="5" t="s">
        <v>17</v>
      </c>
      <c r="D21" s="5" t="s">
        <v>77</v>
      </c>
      <c r="E21" s="5" t="s">
        <v>78</v>
      </c>
      <c r="F21" s="5" t="s">
        <v>20</v>
      </c>
      <c r="G21" s="5" t="s">
        <v>21</v>
      </c>
      <c r="H21" s="5" t="s">
        <v>22</v>
      </c>
      <c r="I21" s="5" t="s">
        <v>30</v>
      </c>
      <c r="J21" s="6" t="str">
        <f aca="false">HYPERLINK("https://www.siemens.com/","Official site")</f>
        <v>Official site</v>
      </c>
      <c r="K21" s="6" t="str">
        <f aca="false">HYPERLINK("https://www.siemens.com/en-gb/products/tia-portal/step7/","Evidence / lead")</f>
        <v>Evidence / lead</v>
      </c>
      <c r="L21" s="6" t="str">
        <f aca="false">HYPERLINK("https://www.ansys.com/products","Language source")</f>
        <v>Language source</v>
      </c>
    </row>
    <row r="22" customFormat="false" ht="23.85" hidden="false" customHeight="false" outlineLevel="0" collapsed="false">
      <c r="A22" s="5" t="s">
        <v>60</v>
      </c>
      <c r="B22" s="5" t="s">
        <v>79</v>
      </c>
      <c r="C22" s="5" t="s">
        <v>17</v>
      </c>
      <c r="D22" s="5" t="s">
        <v>80</v>
      </c>
      <c r="E22" s="5" t="s">
        <v>81</v>
      </c>
      <c r="F22" s="5" t="s">
        <v>20</v>
      </c>
      <c r="G22" s="5" t="s">
        <v>21</v>
      </c>
      <c r="H22" s="5" t="s">
        <v>22</v>
      </c>
      <c r="I22" s="5" t="s">
        <v>37</v>
      </c>
      <c r="J22" s="6" t="str">
        <f aca="false">HYPERLINK("https://www.cyme.com/","Official site")</f>
        <v>Official site</v>
      </c>
      <c r="K22" s="6" t="str">
        <f aca="false">HYPERLINK("https://www.cyme.com/","Evidence / lead")</f>
        <v>Evidence / lead</v>
      </c>
      <c r="L22" s="6" t="str">
        <f aca="false">HYPERLINK("https://www.ansys.com/products","Language source")</f>
        <v>Language source</v>
      </c>
    </row>
    <row r="23" customFormat="false" ht="23.85" hidden="false" customHeight="false" outlineLevel="0" collapsed="false">
      <c r="A23" s="5" t="s">
        <v>60</v>
      </c>
      <c r="B23" s="5" t="s">
        <v>82</v>
      </c>
      <c r="C23" s="5" t="s">
        <v>17</v>
      </c>
      <c r="D23" s="5" t="s">
        <v>83</v>
      </c>
      <c r="E23" s="5" t="s">
        <v>84</v>
      </c>
      <c r="F23" s="5" t="s">
        <v>20</v>
      </c>
      <c r="G23" s="5" t="s">
        <v>21</v>
      </c>
      <c r="H23" s="5" t="s">
        <v>22</v>
      </c>
      <c r="I23" s="5" t="s">
        <v>37</v>
      </c>
      <c r="J23" s="6" t="str">
        <f aca="false">HYPERLINK("https://www.neplan.ch/","Official site")</f>
        <v>Official site</v>
      </c>
      <c r="K23" s="6" t="str">
        <f aca="false">HYPERLINK("https://www.neplan.ch/","Evidence / lead")</f>
        <v>Evidence / lead</v>
      </c>
      <c r="L23" s="6" t="str">
        <f aca="false">HYPERLINK("https://www.ansys.com/products","Language source")</f>
        <v>Language source</v>
      </c>
    </row>
    <row r="24" customFormat="false" ht="23.85" hidden="false" customHeight="false" outlineLevel="0" collapsed="false">
      <c r="A24" s="5" t="s">
        <v>60</v>
      </c>
      <c r="B24" s="5" t="s">
        <v>85</v>
      </c>
      <c r="C24" s="5" t="s">
        <v>17</v>
      </c>
      <c r="D24" s="5" t="s">
        <v>86</v>
      </c>
      <c r="E24" s="5" t="s">
        <v>87</v>
      </c>
      <c r="F24" s="5" t="s">
        <v>20</v>
      </c>
      <c r="G24" s="5" t="s">
        <v>21</v>
      </c>
      <c r="H24" s="5" t="s">
        <v>22</v>
      </c>
      <c r="I24" s="5" t="s">
        <v>37</v>
      </c>
      <c r="J24" s="6" t="str">
        <f aca="false">HYPERLINK("https://www.eracs.co.uk/","Official site")</f>
        <v>Official site</v>
      </c>
      <c r="K24" s="6" t="str">
        <f aca="false">HYPERLINK("https://www.eracs.co.uk/","Evidence / lead")</f>
        <v>Evidence / lead</v>
      </c>
      <c r="L24" s="6" t="str">
        <f aca="false">HYPERLINK("https://www.ansys.com/products","Language source")</f>
        <v>Language source</v>
      </c>
    </row>
    <row r="25" customFormat="false" ht="23.85" hidden="false" customHeight="false" outlineLevel="0" collapsed="false">
      <c r="A25" s="5" t="s">
        <v>60</v>
      </c>
      <c r="B25" s="5" t="s">
        <v>88</v>
      </c>
      <c r="C25" s="5" t="s">
        <v>17</v>
      </c>
      <c r="D25" s="5" t="s">
        <v>89</v>
      </c>
      <c r="E25" s="5" t="s">
        <v>90</v>
      </c>
      <c r="F25" s="5" t="s">
        <v>20</v>
      </c>
      <c r="G25" s="5" t="s">
        <v>21</v>
      </c>
      <c r="H25" s="5" t="s">
        <v>22</v>
      </c>
      <c r="I25" s="5" t="s">
        <v>23</v>
      </c>
      <c r="J25" s="6" t="str">
        <f aca="false">HYPERLINK("https://www.digsilent.de/","Official site")</f>
        <v>Official site</v>
      </c>
      <c r="K25" s="6" t="str">
        <f aca="false">HYPERLINK("https://www.digsilent.de/en/functions.html","Evidence / lead")</f>
        <v>Evidence / lead</v>
      </c>
      <c r="L25" s="6" t="str">
        <f aca="false">HYPERLINK("https://www.ansys.com/products","Language source")</f>
        <v>Language source</v>
      </c>
    </row>
    <row r="26" customFormat="false" ht="23.85" hidden="false" customHeight="false" outlineLevel="0" collapsed="false">
      <c r="A26" s="5" t="s">
        <v>91</v>
      </c>
      <c r="B26" s="5" t="s">
        <v>92</v>
      </c>
      <c r="C26" s="5" t="s">
        <v>17</v>
      </c>
      <c r="D26" s="5" t="s">
        <v>93</v>
      </c>
      <c r="E26" s="5" t="s">
        <v>94</v>
      </c>
      <c r="F26" s="5" t="s">
        <v>95</v>
      </c>
      <c r="G26" s="5" t="s">
        <v>96</v>
      </c>
      <c r="H26" s="5" t="s">
        <v>97</v>
      </c>
      <c r="I26" s="5" t="s">
        <v>23</v>
      </c>
      <c r="J26" s="6" t="str">
        <f aca="false">HYPERLINK("https://www.pscad.com/","Official site")</f>
        <v>Official site</v>
      </c>
      <c r="K26" s="6" t="str">
        <f aca="false">HYPERLINK("https://www.pscad.com/knowledge-base/topic-609/v-","Evidence / lead")</f>
        <v>Evidence / lead</v>
      </c>
      <c r="L26" s="6" t="str">
        <f aca="false">HYPERLINK("https://www.pscad.com/knowledge-base/article/584","Language source")</f>
        <v>Language source</v>
      </c>
    </row>
    <row r="27" customFormat="false" ht="23.85" hidden="false" customHeight="false" outlineLevel="0" collapsed="false">
      <c r="A27" s="5" t="s">
        <v>91</v>
      </c>
      <c r="B27" s="5" t="s">
        <v>98</v>
      </c>
      <c r="C27" s="5" t="s">
        <v>17</v>
      </c>
      <c r="D27" s="5" t="s">
        <v>99</v>
      </c>
      <c r="E27" s="5" t="s">
        <v>100</v>
      </c>
      <c r="F27" s="5" t="s">
        <v>20</v>
      </c>
      <c r="G27" s="5" t="s">
        <v>21</v>
      </c>
      <c r="H27" s="5" t="s">
        <v>22</v>
      </c>
      <c r="I27" s="5" t="s">
        <v>23</v>
      </c>
      <c r="J27" s="6" t="str">
        <f aca="false">HYPERLINK("https://www.emtp.com/","Official site")</f>
        <v>Official site</v>
      </c>
      <c r="K27" s="6" t="str">
        <f aca="false">HYPERLINK("https://www.emtp.com/","Evidence / lead")</f>
        <v>Evidence / lead</v>
      </c>
      <c r="L27" s="6" t="str">
        <f aca="false">HYPERLINK("https://www.ansys.com/products","Language source")</f>
        <v>Language source</v>
      </c>
    </row>
    <row r="28" customFormat="false" ht="23.85" hidden="false" customHeight="false" outlineLevel="0" collapsed="false">
      <c r="A28" s="5" t="s">
        <v>91</v>
      </c>
      <c r="B28" s="5" t="s">
        <v>101</v>
      </c>
      <c r="C28" s="5" t="s">
        <v>17</v>
      </c>
      <c r="D28" s="5" t="s">
        <v>102</v>
      </c>
      <c r="E28" s="5" t="s">
        <v>103</v>
      </c>
      <c r="F28" s="5" t="s">
        <v>20</v>
      </c>
      <c r="G28" s="5" t="s">
        <v>21</v>
      </c>
      <c r="H28" s="5" t="s">
        <v>22</v>
      </c>
      <c r="I28" s="5" t="s">
        <v>30</v>
      </c>
      <c r="J28" s="6" t="str">
        <f aca="false">HYPERLINK("https://www.plexim.com/","Official site")</f>
        <v>Official site</v>
      </c>
      <c r="K28" s="6" t="str">
        <f aca="false">HYPERLINK("https://www.plexim.com/","Evidence / lead")</f>
        <v>Evidence / lead</v>
      </c>
      <c r="L28" s="6" t="str">
        <f aca="false">HYPERLINK("https://www.ansys.com/products","Language source")</f>
        <v>Language source</v>
      </c>
    </row>
    <row r="29" customFormat="false" ht="23.85" hidden="false" customHeight="false" outlineLevel="0" collapsed="false">
      <c r="A29" s="5" t="s">
        <v>91</v>
      </c>
      <c r="B29" s="5" t="s">
        <v>104</v>
      </c>
      <c r="C29" s="5" t="s">
        <v>17</v>
      </c>
      <c r="D29" s="5" t="s">
        <v>105</v>
      </c>
      <c r="E29" s="5" t="s">
        <v>106</v>
      </c>
      <c r="F29" s="5" t="s">
        <v>20</v>
      </c>
      <c r="G29" s="5" t="s">
        <v>21</v>
      </c>
      <c r="H29" s="5" t="s">
        <v>22</v>
      </c>
      <c r="I29" s="5" t="s">
        <v>37</v>
      </c>
      <c r="J29" s="6" t="str">
        <f aca="false">HYPERLINK("https://altair.com/psim","Official site")</f>
        <v>Official site</v>
      </c>
      <c r="K29" s="6" t="str">
        <f aca="false">HYPERLINK("https://altair.com/psim","Evidence / lead")</f>
        <v>Evidence / lead</v>
      </c>
      <c r="L29" s="6" t="str">
        <f aca="false">HYPERLINK("https://www.ansys.com/products","Language source")</f>
        <v>Language source</v>
      </c>
    </row>
    <row r="30" customFormat="false" ht="23.85" hidden="false" customHeight="false" outlineLevel="0" collapsed="false">
      <c r="A30" s="5" t="s">
        <v>91</v>
      </c>
      <c r="B30" s="5" t="s">
        <v>107</v>
      </c>
      <c r="C30" s="5" t="s">
        <v>17</v>
      </c>
      <c r="D30" s="5" t="s">
        <v>108</v>
      </c>
      <c r="E30" s="5" t="s">
        <v>109</v>
      </c>
      <c r="F30" s="5" t="s">
        <v>110</v>
      </c>
      <c r="G30" s="5" t="s">
        <v>111</v>
      </c>
      <c r="H30" s="5" t="s">
        <v>112</v>
      </c>
      <c r="I30" s="5" t="s">
        <v>23</v>
      </c>
      <c r="J30" s="6" t="str">
        <f aca="false">HYPERLINK("https://www.mathworks.com/products/simscape-electrical.html","Official site")</f>
        <v>Official site</v>
      </c>
      <c r="K30" s="6" t="str">
        <f aca="false">HYPERLINK("https://www.mathworks.com/company/technical-articles/a-brief-history-of-matlab.html","Evidence / lead")</f>
        <v>Evidence / lead</v>
      </c>
      <c r="L30" s="6" t="str">
        <f aca="false">HYPERLINK("https://www.mathworks.com/company/technical-articles/a-brief-history-of-matlab.html","Language source")</f>
        <v>Language source</v>
      </c>
    </row>
    <row r="31" customFormat="false" ht="23.85" hidden="false" customHeight="false" outlineLevel="0" collapsed="false">
      <c r="A31" s="5" t="s">
        <v>91</v>
      </c>
      <c r="B31" s="5" t="s">
        <v>113</v>
      </c>
      <c r="C31" s="5" t="s">
        <v>17</v>
      </c>
      <c r="D31" s="5" t="s">
        <v>114</v>
      </c>
      <c r="E31" s="5" t="s">
        <v>115</v>
      </c>
      <c r="F31" s="5" t="s">
        <v>20</v>
      </c>
      <c r="G31" s="5" t="s">
        <v>21</v>
      </c>
      <c r="H31" s="5" t="s">
        <v>22</v>
      </c>
      <c r="I31" s="5" t="s">
        <v>23</v>
      </c>
      <c r="J31" s="6" t="str">
        <f aca="false">HYPERLINK("https://www.simetrix.co.uk/","Official site")</f>
        <v>Official site</v>
      </c>
      <c r="K31" s="6" t="str">
        <f aca="false">HYPERLINK("https://www.simetrix.co.uk/","Evidence / lead")</f>
        <v>Evidence / lead</v>
      </c>
      <c r="L31" s="6" t="str">
        <f aca="false">HYPERLINK("https://www.ansys.com/products","Language source")</f>
        <v>Language source</v>
      </c>
    </row>
    <row r="32" customFormat="false" ht="23.85" hidden="false" customHeight="false" outlineLevel="0" collapsed="false">
      <c r="A32" s="5" t="s">
        <v>91</v>
      </c>
      <c r="B32" s="5" t="s">
        <v>116</v>
      </c>
      <c r="C32" s="5" t="s">
        <v>117</v>
      </c>
      <c r="D32" s="5" t="s">
        <v>118</v>
      </c>
      <c r="E32" s="5" t="s">
        <v>119</v>
      </c>
      <c r="F32" s="5" t="s">
        <v>20</v>
      </c>
      <c r="G32" s="5" t="s">
        <v>21</v>
      </c>
      <c r="H32" s="5" t="s">
        <v>22</v>
      </c>
      <c r="I32" s="5" t="s">
        <v>23</v>
      </c>
      <c r="J32" s="6" t="str">
        <f aca="false">HYPERLINK("https://www.analog.com/en/resources/design-tools-and-calculators/ltspice-simulator.html","Official site")</f>
        <v>Official site</v>
      </c>
      <c r="K32" s="6" t="str">
        <f aca="false">HYPERLINK("https://www.analog.com/en/resources/design-tools-and-calculators/ltspice-simulator.html","Evidence / lead")</f>
        <v>Evidence / lead</v>
      </c>
      <c r="L32" s="6" t="str">
        <f aca="false">HYPERLINK("https://www.ansys.com/products","Language source")</f>
        <v>Language source</v>
      </c>
    </row>
    <row r="33" customFormat="false" ht="23.85" hidden="false" customHeight="false" outlineLevel="0" collapsed="false">
      <c r="A33" s="5" t="s">
        <v>91</v>
      </c>
      <c r="B33" s="5" t="s">
        <v>120</v>
      </c>
      <c r="C33" s="5" t="s">
        <v>117</v>
      </c>
      <c r="D33" s="5" t="s">
        <v>121</v>
      </c>
      <c r="E33" s="5" t="s">
        <v>122</v>
      </c>
      <c r="F33" s="5" t="s">
        <v>20</v>
      </c>
      <c r="G33" s="5" t="s">
        <v>21</v>
      </c>
      <c r="H33" s="5" t="s">
        <v>22</v>
      </c>
      <c r="I33" s="5" t="s">
        <v>23</v>
      </c>
      <c r="J33" s="6" t="str">
        <f aca="false">HYPERLINK("https://www.qorvo.com/design-hub/design-tools/interactive/qspice","Official site")</f>
        <v>Official site</v>
      </c>
      <c r="K33" s="6" t="str">
        <f aca="false">HYPERLINK("https://www.qorvo.com/design-hub/design-tools/interactive/qspice","Evidence / lead")</f>
        <v>Evidence / lead</v>
      </c>
      <c r="L33" s="6" t="str">
        <f aca="false">HYPERLINK("https://www.ansys.com/products","Language source")</f>
        <v>Language source</v>
      </c>
    </row>
    <row r="34" customFormat="false" ht="23.85" hidden="false" customHeight="false" outlineLevel="0" collapsed="false">
      <c r="A34" s="5" t="s">
        <v>91</v>
      </c>
      <c r="B34" s="5" t="s">
        <v>123</v>
      </c>
      <c r="C34" s="5" t="s">
        <v>17</v>
      </c>
      <c r="D34" s="5" t="s">
        <v>124</v>
      </c>
      <c r="E34" s="5" t="s">
        <v>125</v>
      </c>
      <c r="F34" s="5" t="s">
        <v>20</v>
      </c>
      <c r="G34" s="5" t="s">
        <v>21</v>
      </c>
      <c r="H34" s="5" t="s">
        <v>22</v>
      </c>
      <c r="I34" s="5" t="s">
        <v>23</v>
      </c>
      <c r="J34" s="6" t="str">
        <f aca="false">HYPERLINK("https://www.typhoon-hil.com/","Official site")</f>
        <v>Official site</v>
      </c>
      <c r="K34" s="6" t="str">
        <f aca="false">HYPERLINK("https://www.typhoon-hil.com/","Evidence / lead")</f>
        <v>Evidence / lead</v>
      </c>
      <c r="L34" s="6" t="str">
        <f aca="false">HYPERLINK("https://www.ansys.com/products","Language source")</f>
        <v>Language source</v>
      </c>
    </row>
    <row r="35" customFormat="false" ht="23.85" hidden="false" customHeight="false" outlineLevel="0" collapsed="false">
      <c r="A35" s="5" t="s">
        <v>91</v>
      </c>
      <c r="B35" s="5" t="s">
        <v>126</v>
      </c>
      <c r="C35" s="5" t="s">
        <v>17</v>
      </c>
      <c r="D35" s="5" t="s">
        <v>127</v>
      </c>
      <c r="E35" s="5" t="s">
        <v>128</v>
      </c>
      <c r="F35" s="5" t="s">
        <v>20</v>
      </c>
      <c r="G35" s="5" t="s">
        <v>21</v>
      </c>
      <c r="H35" s="5" t="s">
        <v>22</v>
      </c>
      <c r="I35" s="5" t="s">
        <v>30</v>
      </c>
      <c r="J35" s="6" t="str">
        <f aca="false">HYPERLINK("https://www.opal-rt.com/","Official site")</f>
        <v>Official site</v>
      </c>
      <c r="K35" s="6" t="str">
        <f aca="false">HYPERLINK("https://www.opal-rt.com/","Evidence / lead")</f>
        <v>Evidence / lead</v>
      </c>
      <c r="L35" s="6" t="str">
        <f aca="false">HYPERLINK("https://www.ansys.com/products","Language source")</f>
        <v>Language source</v>
      </c>
    </row>
    <row r="36" customFormat="false" ht="23.85" hidden="false" customHeight="false" outlineLevel="0" collapsed="false">
      <c r="A36" s="5" t="s">
        <v>129</v>
      </c>
      <c r="B36" s="5" t="s">
        <v>130</v>
      </c>
      <c r="C36" s="5" t="s">
        <v>17</v>
      </c>
      <c r="D36" s="5" t="s">
        <v>131</v>
      </c>
      <c r="E36" s="5" t="s">
        <v>132</v>
      </c>
      <c r="F36" s="5" t="s">
        <v>110</v>
      </c>
      <c r="G36" s="5" t="s">
        <v>111</v>
      </c>
      <c r="H36" s="5" t="s">
        <v>112</v>
      </c>
      <c r="I36" s="5" t="s">
        <v>23</v>
      </c>
      <c r="J36" s="6" t="str">
        <f aca="false">HYPERLINK("https://www.mathworks.com/products/control.html","Official site")</f>
        <v>Official site</v>
      </c>
      <c r="K36" s="6" t="str">
        <f aca="false">HYPERLINK("https://www.mathworks.com/company/technical-articles/a-brief-history-of-matlab.html","Evidence / lead")</f>
        <v>Evidence / lead</v>
      </c>
      <c r="L36" s="6" t="str">
        <f aca="false">HYPERLINK("https://www.mathworks.com/company/technical-articles/a-brief-history-of-matlab.html","Language source")</f>
        <v>Language source</v>
      </c>
    </row>
    <row r="37" customFormat="false" ht="23.85" hidden="false" customHeight="false" outlineLevel="0" collapsed="false">
      <c r="A37" s="5" t="s">
        <v>129</v>
      </c>
      <c r="B37" s="5" t="s">
        <v>133</v>
      </c>
      <c r="C37" s="5" t="s">
        <v>17</v>
      </c>
      <c r="D37" s="5" t="s">
        <v>134</v>
      </c>
      <c r="E37" s="5" t="s">
        <v>135</v>
      </c>
      <c r="F37" s="5" t="s">
        <v>110</v>
      </c>
      <c r="G37" s="5" t="s">
        <v>111</v>
      </c>
      <c r="H37" s="5" t="s">
        <v>112</v>
      </c>
      <c r="I37" s="5" t="s">
        <v>23</v>
      </c>
      <c r="J37" s="6" t="str">
        <f aca="false">HYPERLINK("https://www.mathworks.com/products/simulink.html","Official site")</f>
        <v>Official site</v>
      </c>
      <c r="K37" s="6" t="str">
        <f aca="false">HYPERLINK("https://www.mathworks.com/company/technical-articles/a-brief-history-of-matlab.html","Evidence / lead")</f>
        <v>Evidence / lead</v>
      </c>
      <c r="L37" s="6" t="str">
        <f aca="false">HYPERLINK("https://www.mathworks.com/company/technical-articles/a-brief-history-of-matlab.html","Language source")</f>
        <v>Language source</v>
      </c>
    </row>
    <row r="38" customFormat="false" ht="23.85" hidden="false" customHeight="false" outlineLevel="0" collapsed="false">
      <c r="A38" s="5" t="s">
        <v>129</v>
      </c>
      <c r="B38" s="5" t="s">
        <v>136</v>
      </c>
      <c r="C38" s="5" t="s">
        <v>17</v>
      </c>
      <c r="D38" s="5" t="s">
        <v>137</v>
      </c>
      <c r="E38" s="5" t="s">
        <v>138</v>
      </c>
      <c r="F38" s="5" t="s">
        <v>20</v>
      </c>
      <c r="G38" s="5" t="s">
        <v>21</v>
      </c>
      <c r="H38" s="5" t="s">
        <v>22</v>
      </c>
      <c r="I38" s="5" t="s">
        <v>23</v>
      </c>
      <c r="J38" s="6" t="str">
        <f aca="false">HYPERLINK("https://www.ni.com/en/shop/labview.html","Official site")</f>
        <v>Official site</v>
      </c>
      <c r="K38" s="6" t="str">
        <f aca="false">HYPERLINK("https://www.ni.com/en/support/documentation/supplemental/10/ni-labview-compiler--under-the-hood.html","Evidence / lead")</f>
        <v>Evidence / lead</v>
      </c>
      <c r="L38" s="6" t="str">
        <f aca="false">HYPERLINK("https://www.ansys.com/products","Language source")</f>
        <v>Language source</v>
      </c>
    </row>
    <row r="39" customFormat="false" ht="23.85" hidden="false" customHeight="false" outlineLevel="0" collapsed="false">
      <c r="A39" s="5" t="s">
        <v>129</v>
      </c>
      <c r="B39" s="5" t="s">
        <v>139</v>
      </c>
      <c r="C39" s="5" t="s">
        <v>17</v>
      </c>
      <c r="D39" s="5" t="s">
        <v>140</v>
      </c>
      <c r="E39" s="5" t="s">
        <v>141</v>
      </c>
      <c r="F39" s="5" t="s">
        <v>20</v>
      </c>
      <c r="G39" s="5" t="s">
        <v>21</v>
      </c>
      <c r="H39" s="5" t="s">
        <v>22</v>
      </c>
      <c r="I39" s="5" t="s">
        <v>23</v>
      </c>
      <c r="J39" s="6" t="str">
        <f aca="false">HYPERLINK("https://www.siemens.com/en-us/products/simcenter/","Official site")</f>
        <v>Official site</v>
      </c>
      <c r="K39" s="6" t="str">
        <f aca="false">HYPERLINK("https://www.siemens.com/en-us/products/simcenter/simcenter-x/advanced/","Evidence / lead")</f>
        <v>Evidence / lead</v>
      </c>
      <c r="L39" s="6" t="str">
        <f aca="false">HYPERLINK("https://www.ansys.com/products","Language source")</f>
        <v>Language source</v>
      </c>
    </row>
    <row r="40" customFormat="false" ht="23.85" hidden="false" customHeight="false" outlineLevel="0" collapsed="false">
      <c r="A40" s="5" t="s">
        <v>129</v>
      </c>
      <c r="B40" s="5" t="s">
        <v>142</v>
      </c>
      <c r="C40" s="5" t="s">
        <v>17</v>
      </c>
      <c r="D40" s="5" t="s">
        <v>143</v>
      </c>
      <c r="E40" s="5" t="s">
        <v>144</v>
      </c>
      <c r="F40" s="5" t="s">
        <v>20</v>
      </c>
      <c r="G40" s="5" t="s">
        <v>21</v>
      </c>
      <c r="H40" s="5" t="s">
        <v>22</v>
      </c>
      <c r="I40" s="5" t="s">
        <v>23</v>
      </c>
      <c r="J40" s="6" t="str">
        <f aca="false">HYPERLINK("https://www.maplesoft.com/products/maplesim/","Official site")</f>
        <v>Official site</v>
      </c>
      <c r="K40" s="6" t="str">
        <f aca="false">HYPERLINK("https://www.maplesoft.com/products/maplesim/","Evidence / lead")</f>
        <v>Evidence / lead</v>
      </c>
      <c r="L40" s="6" t="str">
        <f aca="false">HYPERLINK("https://www.ansys.com/products","Language source")</f>
        <v>Language source</v>
      </c>
    </row>
    <row r="41" customFormat="false" ht="23.85" hidden="false" customHeight="false" outlineLevel="0" collapsed="false">
      <c r="A41" s="5" t="s">
        <v>129</v>
      </c>
      <c r="B41" s="5" t="s">
        <v>145</v>
      </c>
      <c r="C41" s="5" t="s">
        <v>17</v>
      </c>
      <c r="D41" s="5" t="s">
        <v>146</v>
      </c>
      <c r="E41" s="5" t="s">
        <v>147</v>
      </c>
      <c r="F41" s="5" t="s">
        <v>20</v>
      </c>
      <c r="G41" s="5" t="s">
        <v>21</v>
      </c>
      <c r="H41" s="5" t="s">
        <v>22</v>
      </c>
      <c r="I41" s="5" t="s">
        <v>23</v>
      </c>
      <c r="J41" s="6" t="str">
        <f aca="false">HYPERLINK("https://www.wolfram.com/system-modeler/","Official site")</f>
        <v>Official site</v>
      </c>
      <c r="K41" s="6" t="str">
        <f aca="false">HYPERLINK("https://www.wolfram.com/system-modeler/","Evidence / lead")</f>
        <v>Evidence / lead</v>
      </c>
      <c r="L41" s="6" t="str">
        <f aca="false">HYPERLINK("https://www.ansys.com/products","Language source")</f>
        <v>Language source</v>
      </c>
    </row>
    <row r="42" customFormat="false" ht="23.85" hidden="false" customHeight="false" outlineLevel="0" collapsed="false">
      <c r="A42" s="5" t="s">
        <v>129</v>
      </c>
      <c r="B42" s="5" t="s">
        <v>148</v>
      </c>
      <c r="C42" s="5" t="s">
        <v>48</v>
      </c>
      <c r="D42" s="5" t="s">
        <v>149</v>
      </c>
      <c r="E42" s="5" t="s">
        <v>150</v>
      </c>
      <c r="F42" s="5" t="s">
        <v>151</v>
      </c>
      <c r="G42" s="5" t="s">
        <v>152</v>
      </c>
      <c r="H42" s="5" t="s">
        <v>153</v>
      </c>
      <c r="I42" s="5" t="s">
        <v>23</v>
      </c>
      <c r="J42" s="6" t="str">
        <f aca="false">HYPERLINK("https://www.scilab.org/","Official site")</f>
        <v>Official site</v>
      </c>
      <c r="K42" s="6" t="str">
        <f aca="false">HYPERLINK("https://www.scilab.org/","Evidence / lead")</f>
        <v>Evidence / lead</v>
      </c>
      <c r="L42" s="6" t="str">
        <f aca="false">HYPERLINK("https://www.scilab.org/","Language source")</f>
        <v>Language source</v>
      </c>
    </row>
    <row r="43" customFormat="false" ht="23.85" hidden="false" customHeight="false" outlineLevel="0" collapsed="false">
      <c r="A43" s="5" t="s">
        <v>129</v>
      </c>
      <c r="B43" s="5" t="s">
        <v>154</v>
      </c>
      <c r="C43" s="5" t="s">
        <v>48</v>
      </c>
      <c r="D43" s="5" t="s">
        <v>155</v>
      </c>
      <c r="E43" s="5" t="s">
        <v>156</v>
      </c>
      <c r="F43" s="5" t="s">
        <v>151</v>
      </c>
      <c r="G43" s="5" t="s">
        <v>152</v>
      </c>
      <c r="H43" s="5" t="s">
        <v>153</v>
      </c>
      <c r="I43" s="5" t="s">
        <v>23</v>
      </c>
      <c r="J43" s="6" t="str">
        <f aca="false">HYPERLINK("https://python-control.readthedocs.io/","Official site")</f>
        <v>Official site</v>
      </c>
      <c r="K43" s="6" t="str">
        <f aca="false">HYPERLINK("https://python-control.readthedocs.io/","Evidence / lead")</f>
        <v>Evidence / lead</v>
      </c>
      <c r="L43" s="6" t="str">
        <f aca="false">HYPERLINK("https://python-control.readthedocs.io/","Language source")</f>
        <v>Language source</v>
      </c>
    </row>
    <row r="44" customFormat="false" ht="23.85" hidden="false" customHeight="false" outlineLevel="0" collapsed="false">
      <c r="A44" s="5" t="s">
        <v>129</v>
      </c>
      <c r="B44" s="5" t="s">
        <v>157</v>
      </c>
      <c r="C44" s="5" t="s">
        <v>48</v>
      </c>
      <c r="D44" s="5" t="s">
        <v>158</v>
      </c>
      <c r="E44" s="5" t="s">
        <v>159</v>
      </c>
      <c r="F44" s="5" t="s">
        <v>160</v>
      </c>
      <c r="G44" s="5" t="s">
        <v>161</v>
      </c>
      <c r="H44" s="5" t="s">
        <v>162</v>
      </c>
      <c r="I44" s="5" t="s">
        <v>23</v>
      </c>
      <c r="J44" s="6" t="str">
        <f aca="false">HYPERLINK("https://openmodelica.org/","Official site")</f>
        <v>Official site</v>
      </c>
      <c r="K44" s="6" t="str">
        <f aca="false">HYPERLINK("https://openmodelica.org/doc/OpenModelicaUsersGuide/1.26/compiler.html","Evidence / lead")</f>
        <v>Evidence / lead</v>
      </c>
      <c r="L44" s="6" t="str">
        <f aca="false">HYPERLINK("https://openmodelica.org/doc/OpenModelicaUsersGuide/1.26/compiler.html","Language source")</f>
        <v>Language source</v>
      </c>
    </row>
    <row r="45" customFormat="false" ht="23.85" hidden="false" customHeight="false" outlineLevel="0" collapsed="false">
      <c r="A45" s="5" t="s">
        <v>129</v>
      </c>
      <c r="B45" s="5" t="s">
        <v>163</v>
      </c>
      <c r="C45" s="5" t="s">
        <v>48</v>
      </c>
      <c r="D45" s="5" t="s">
        <v>164</v>
      </c>
      <c r="E45" s="5" t="s">
        <v>165</v>
      </c>
      <c r="F45" s="5" t="s">
        <v>166</v>
      </c>
      <c r="G45" s="5" t="s">
        <v>167</v>
      </c>
      <c r="H45" s="5" t="s">
        <v>168</v>
      </c>
      <c r="I45" s="5" t="s">
        <v>23</v>
      </c>
      <c r="J45" s="6" t="str">
        <f aca="false">HYPERLINK("https://octave.org/","Official site")</f>
        <v>Official site</v>
      </c>
      <c r="K45" s="6" t="str">
        <f aca="false">HYPERLINK("https://octave.org/","Evidence / lead")</f>
        <v>Evidence / lead</v>
      </c>
      <c r="L45" s="6" t="str">
        <f aca="false">HYPERLINK("https://octave.org/about","Language source")</f>
        <v>Language source</v>
      </c>
    </row>
    <row r="46" customFormat="false" ht="23.85" hidden="false" customHeight="false" outlineLevel="0" collapsed="false">
      <c r="A46" s="5" t="s">
        <v>169</v>
      </c>
      <c r="B46" s="5" t="s">
        <v>170</v>
      </c>
      <c r="C46" s="5" t="s">
        <v>17</v>
      </c>
      <c r="D46" s="5" t="s">
        <v>171</v>
      </c>
      <c r="E46" s="5" t="s">
        <v>172</v>
      </c>
      <c r="F46" s="5" t="s">
        <v>173</v>
      </c>
      <c r="G46" s="5" t="s">
        <v>174</v>
      </c>
      <c r="H46" s="5" t="s">
        <v>22</v>
      </c>
      <c r="I46" s="5" t="s">
        <v>23</v>
      </c>
      <c r="J46" s="6" t="str">
        <f aca="false">HYPERLINK("https://www.siemens.com/en-gb/products/tia-portal/step7/","Official site")</f>
        <v>Official site</v>
      </c>
      <c r="K46" s="6" t="str">
        <f aca="false">HYPERLINK("https://www.siemens.com/en-gb/products/tia-portal/step7/","Evidence / lead")</f>
        <v>Evidence / lead</v>
      </c>
      <c r="L46" s="6" t="str">
        <f aca="false">HYPERLINK("https://www.siemens.com/en-gb/products/tia-portal/step7/","Language source")</f>
        <v>Language source</v>
      </c>
    </row>
    <row r="47" customFormat="false" ht="23.85" hidden="false" customHeight="false" outlineLevel="0" collapsed="false">
      <c r="A47" s="5" t="s">
        <v>169</v>
      </c>
      <c r="B47" s="5" t="s">
        <v>175</v>
      </c>
      <c r="C47" s="5" t="s">
        <v>17</v>
      </c>
      <c r="D47" s="5" t="s">
        <v>176</v>
      </c>
      <c r="E47" s="5" t="s">
        <v>177</v>
      </c>
      <c r="F47" s="5" t="s">
        <v>173</v>
      </c>
      <c r="G47" s="5" t="s">
        <v>174</v>
      </c>
      <c r="H47" s="5" t="s">
        <v>22</v>
      </c>
      <c r="I47" s="5" t="s">
        <v>30</v>
      </c>
      <c r="J47" s="6" t="str">
        <f aca="false">HYPERLINK("https://www.rockwellautomation.com/","Official site")</f>
        <v>Official site</v>
      </c>
      <c r="K47" s="6" t="str">
        <f aca="false">HYPERLINK("https://www.rockwellautomation.com/","Evidence / lead")</f>
        <v>Evidence / lead</v>
      </c>
      <c r="L47" s="6" t="str">
        <f aca="false">HYPERLINK("https://www.siemens.com/en-gb/products/tia-portal/step7/","Language source")</f>
        <v>Language source</v>
      </c>
    </row>
    <row r="48" customFormat="false" ht="23.85" hidden="false" customHeight="false" outlineLevel="0" collapsed="false">
      <c r="A48" s="5" t="s">
        <v>169</v>
      </c>
      <c r="B48" s="5" t="s">
        <v>178</v>
      </c>
      <c r="C48" s="5" t="s">
        <v>17</v>
      </c>
      <c r="D48" s="5" t="s">
        <v>179</v>
      </c>
      <c r="E48" s="5" t="s">
        <v>180</v>
      </c>
      <c r="F48" s="5" t="s">
        <v>173</v>
      </c>
      <c r="G48" s="5" t="s">
        <v>174</v>
      </c>
      <c r="H48" s="5" t="s">
        <v>22</v>
      </c>
      <c r="I48" s="5" t="s">
        <v>23</v>
      </c>
      <c r="J48" s="6" t="str">
        <f aca="false">HYPERLINK("https://www.beckhoff.com/en-en/products/automation/twincat/","Official site")</f>
        <v>Official site</v>
      </c>
      <c r="K48" s="6" t="str">
        <f aca="false">HYPERLINK("https://www.beckhoff.com/en-en/products/automation/twincat/texxxx-twincat-3-engineering/te1401.html","Evidence / lead")</f>
        <v>Evidence / lead</v>
      </c>
      <c r="L48" s="6" t="str">
        <f aca="false">HYPERLINK("https://www.siemens.com/en-gb/products/tia-portal/step7/","Language source")</f>
        <v>Language source</v>
      </c>
    </row>
    <row r="49" customFormat="false" ht="23.85" hidden="false" customHeight="false" outlineLevel="0" collapsed="false">
      <c r="A49" s="5" t="s">
        <v>169</v>
      </c>
      <c r="B49" s="5" t="s">
        <v>181</v>
      </c>
      <c r="C49" s="5" t="s">
        <v>117</v>
      </c>
      <c r="D49" s="5" t="s">
        <v>182</v>
      </c>
      <c r="E49" s="5" t="s">
        <v>183</v>
      </c>
      <c r="F49" s="5" t="s">
        <v>173</v>
      </c>
      <c r="G49" s="5" t="s">
        <v>174</v>
      </c>
      <c r="H49" s="5" t="s">
        <v>22</v>
      </c>
      <c r="I49" s="5" t="s">
        <v>23</v>
      </c>
      <c r="J49" s="6" t="str">
        <f aca="false">HYPERLINK("https://www.codesys.com/","Official site")</f>
        <v>Official site</v>
      </c>
      <c r="K49" s="6" t="str">
        <f aca="false">HYPERLINK("https://www.codesys.com/device-manufacturers/codesys-for-you/licence-devices/","Evidence / lead")</f>
        <v>Evidence / lead</v>
      </c>
      <c r="L49" s="6" t="str">
        <f aca="false">HYPERLINK("https://www.siemens.com/en-gb/products/tia-portal/step7/","Language source")</f>
        <v>Language source</v>
      </c>
    </row>
    <row r="50" customFormat="false" ht="23.85" hidden="false" customHeight="false" outlineLevel="0" collapsed="false">
      <c r="A50" s="5" t="s">
        <v>169</v>
      </c>
      <c r="B50" s="5" t="s">
        <v>184</v>
      </c>
      <c r="C50" s="5" t="s">
        <v>17</v>
      </c>
      <c r="D50" s="5" t="s">
        <v>185</v>
      </c>
      <c r="E50" s="5" t="s">
        <v>186</v>
      </c>
      <c r="F50" s="5" t="s">
        <v>173</v>
      </c>
      <c r="G50" s="5" t="s">
        <v>174</v>
      </c>
      <c r="H50" s="5" t="s">
        <v>22</v>
      </c>
      <c r="I50" s="5" t="s">
        <v>37</v>
      </c>
      <c r="J50" s="6" t="str">
        <f aca="false">HYPERLINK("https://www.se.com/","Official site")</f>
        <v>Official site</v>
      </c>
      <c r="K50" s="6" t="str">
        <f aca="false">HYPERLINK("https://www.se.com/","Evidence / lead")</f>
        <v>Evidence / lead</v>
      </c>
      <c r="L50" s="6" t="str">
        <f aca="false">HYPERLINK("https://www.siemens.com/en-gb/products/tia-portal/step7/","Language source")</f>
        <v>Language source</v>
      </c>
    </row>
    <row r="51" customFormat="false" ht="23.85" hidden="false" customHeight="false" outlineLevel="0" collapsed="false">
      <c r="A51" s="5" t="s">
        <v>169</v>
      </c>
      <c r="B51" s="5" t="s">
        <v>187</v>
      </c>
      <c r="C51" s="5" t="s">
        <v>17</v>
      </c>
      <c r="D51" s="5" t="s">
        <v>188</v>
      </c>
      <c r="E51" s="5" t="s">
        <v>189</v>
      </c>
      <c r="F51" s="5" t="s">
        <v>173</v>
      </c>
      <c r="G51" s="5" t="s">
        <v>174</v>
      </c>
      <c r="H51" s="5" t="s">
        <v>22</v>
      </c>
      <c r="I51" s="5" t="s">
        <v>23</v>
      </c>
      <c r="J51" s="6" t="str">
        <f aca="false">HYPERLINK("https://automation.omron.com/","Official site")</f>
        <v>Official site</v>
      </c>
      <c r="K51" s="6" t="str">
        <f aca="false">HYPERLINK("https://automation.omron.com/","Evidence / lead")</f>
        <v>Evidence / lead</v>
      </c>
      <c r="L51" s="6" t="str">
        <f aca="false">HYPERLINK("https://www.siemens.com/en-gb/products/tia-portal/step7/","Language source")</f>
        <v>Language source</v>
      </c>
    </row>
    <row r="52" customFormat="false" ht="23.85" hidden="false" customHeight="false" outlineLevel="0" collapsed="false">
      <c r="A52" s="5" t="s">
        <v>169</v>
      </c>
      <c r="B52" s="5" t="s">
        <v>190</v>
      </c>
      <c r="C52" s="5" t="s">
        <v>17</v>
      </c>
      <c r="D52" s="5" t="s">
        <v>191</v>
      </c>
      <c r="E52" s="5" t="s">
        <v>189</v>
      </c>
      <c r="F52" s="5" t="s">
        <v>173</v>
      </c>
      <c r="G52" s="5" t="s">
        <v>174</v>
      </c>
      <c r="H52" s="5" t="s">
        <v>22</v>
      </c>
      <c r="I52" s="5" t="s">
        <v>30</v>
      </c>
      <c r="J52" s="6" t="str">
        <f aca="false">HYPERLINK("https://www.mitsubishielectric.com/fa/","Official site")</f>
        <v>Official site</v>
      </c>
      <c r="K52" s="6" t="str">
        <f aca="false">HYPERLINK("https://www.mitsubishielectric.com/fa/","Evidence / lead")</f>
        <v>Evidence / lead</v>
      </c>
      <c r="L52" s="6" t="str">
        <f aca="false">HYPERLINK("https://www.siemens.com/en-gb/products/tia-portal/step7/","Language source")</f>
        <v>Language source</v>
      </c>
    </row>
    <row r="53" customFormat="false" ht="23.85" hidden="false" customHeight="false" outlineLevel="0" collapsed="false">
      <c r="A53" s="5" t="s">
        <v>169</v>
      </c>
      <c r="B53" s="5" t="s">
        <v>192</v>
      </c>
      <c r="C53" s="5" t="s">
        <v>17</v>
      </c>
      <c r="D53" s="5" t="s">
        <v>193</v>
      </c>
      <c r="E53" s="5" t="s">
        <v>194</v>
      </c>
      <c r="F53" s="5" t="s">
        <v>173</v>
      </c>
      <c r="G53" s="5" t="s">
        <v>174</v>
      </c>
      <c r="H53" s="5" t="s">
        <v>22</v>
      </c>
      <c r="I53" s="5" t="s">
        <v>23</v>
      </c>
      <c r="J53" s="6" t="str">
        <f aca="false">HYPERLINK("https://www.br-automation.com/","Official site")</f>
        <v>Official site</v>
      </c>
      <c r="K53" s="6" t="str">
        <f aca="false">HYPERLINK("https://www.br-automation.com/","Evidence / lead")</f>
        <v>Evidence / lead</v>
      </c>
      <c r="L53" s="6" t="str">
        <f aca="false">HYPERLINK("https://www.siemens.com/en-gb/products/tia-portal/step7/","Language source")</f>
        <v>Language source</v>
      </c>
    </row>
    <row r="54" customFormat="false" ht="23.85" hidden="false" customHeight="false" outlineLevel="0" collapsed="false">
      <c r="A54" s="5" t="s">
        <v>169</v>
      </c>
      <c r="B54" s="5" t="s">
        <v>195</v>
      </c>
      <c r="C54" s="5" t="s">
        <v>48</v>
      </c>
      <c r="D54" s="5" t="s">
        <v>196</v>
      </c>
      <c r="E54" s="5" t="s">
        <v>197</v>
      </c>
      <c r="F54" s="5" t="s">
        <v>151</v>
      </c>
      <c r="G54" s="5" t="s">
        <v>152</v>
      </c>
      <c r="H54" s="5" t="s">
        <v>153</v>
      </c>
      <c r="I54" s="5" t="s">
        <v>23</v>
      </c>
      <c r="J54" s="6" t="str">
        <f aca="false">HYPERLINK("https://openplcproject.com/","Official site")</f>
        <v>Official site</v>
      </c>
      <c r="K54" s="6" t="str">
        <f aca="false">HYPERLINK("https://openplcproject.com/","Evidence / lead")</f>
        <v>Evidence / lead</v>
      </c>
      <c r="L54" s="6" t="str">
        <f aca="false">HYPERLINK("https://openplcproject.com/","Language source")</f>
        <v>Language source</v>
      </c>
    </row>
    <row r="55" customFormat="false" ht="23.85" hidden="false" customHeight="false" outlineLevel="0" collapsed="false">
      <c r="A55" s="5" t="s">
        <v>169</v>
      </c>
      <c r="B55" s="5" t="s">
        <v>198</v>
      </c>
      <c r="C55" s="5" t="s">
        <v>48</v>
      </c>
      <c r="D55" s="5" t="s">
        <v>199</v>
      </c>
      <c r="E55" s="5" t="s">
        <v>200</v>
      </c>
      <c r="F55" s="5" t="s">
        <v>151</v>
      </c>
      <c r="G55" s="5" t="s">
        <v>152</v>
      </c>
      <c r="H55" s="5" t="s">
        <v>153</v>
      </c>
      <c r="I55" s="5" t="s">
        <v>23</v>
      </c>
      <c r="J55" s="6" t="str">
        <f aca="false">HYPERLINK("https://beremiz.org/","Official site")</f>
        <v>Official site</v>
      </c>
      <c r="K55" s="6" t="str">
        <f aca="false">HYPERLINK("https://beremiz.org/","Evidence / lead")</f>
        <v>Evidence / lead</v>
      </c>
      <c r="L55" s="6" t="str">
        <f aca="false">HYPERLINK("https://beremiz.org/","Language source")</f>
        <v>Language source</v>
      </c>
    </row>
    <row r="56" customFormat="false" ht="23.85" hidden="false" customHeight="false" outlineLevel="0" collapsed="false">
      <c r="A56" s="5" t="s">
        <v>201</v>
      </c>
      <c r="B56" s="5" t="s">
        <v>202</v>
      </c>
      <c r="C56" s="5" t="s">
        <v>17</v>
      </c>
      <c r="D56" s="5" t="s">
        <v>203</v>
      </c>
      <c r="E56" s="5" t="s">
        <v>204</v>
      </c>
      <c r="F56" s="5" t="s">
        <v>205</v>
      </c>
      <c r="G56" s="5" t="s">
        <v>206</v>
      </c>
      <c r="H56" s="5" t="s">
        <v>207</v>
      </c>
      <c r="I56" s="5" t="s">
        <v>23</v>
      </c>
      <c r="J56" s="6" t="str">
        <f aca="false">HYPERLINK("https://inductiveautomation.com/ignition/","Official site")</f>
        <v>Official site</v>
      </c>
      <c r="K56" s="6" t="str">
        <f aca="false">HYPERLINK("https://inductiveautomation.com/ignition/architectures","Evidence / lead")</f>
        <v>Evidence / lead</v>
      </c>
      <c r="L56" s="6" t="str">
        <f aca="false">HYPERLINK("https://www.docs.inductiveautomation.com/docs/8.3/platform","Language source")</f>
        <v>Language source</v>
      </c>
    </row>
    <row r="57" customFormat="false" ht="23.85" hidden="false" customHeight="false" outlineLevel="0" collapsed="false">
      <c r="A57" s="5" t="s">
        <v>201</v>
      </c>
      <c r="B57" s="5" t="s">
        <v>208</v>
      </c>
      <c r="C57" s="5" t="s">
        <v>17</v>
      </c>
      <c r="D57" s="5" t="s">
        <v>209</v>
      </c>
      <c r="E57" s="5" t="s">
        <v>210</v>
      </c>
      <c r="F57" s="5" t="s">
        <v>211</v>
      </c>
      <c r="G57" s="5" t="s">
        <v>212</v>
      </c>
      <c r="H57" s="5" t="s">
        <v>22</v>
      </c>
      <c r="I57" s="5" t="s">
        <v>23</v>
      </c>
      <c r="J57" s="6" t="str">
        <f aca="false">HYPERLINK("https://www.siemens.com/","Official site")</f>
        <v>Official site</v>
      </c>
      <c r="K57" s="6" t="str">
        <f aca="false">HYPERLINK("https://www.siemens.com/en-us/products/simatic-wincc/unified-engineering/","Evidence / lead")</f>
        <v>Evidence / lead</v>
      </c>
      <c r="L57" s="6" t="str">
        <f aca="false">HYPERLINK("https://www.siemens.com/","Language source")</f>
        <v>Language source</v>
      </c>
    </row>
    <row r="58" customFormat="false" ht="23.85" hidden="false" customHeight="false" outlineLevel="0" collapsed="false">
      <c r="A58" s="5" t="s">
        <v>201</v>
      </c>
      <c r="B58" s="5" t="s">
        <v>213</v>
      </c>
      <c r="C58" s="5" t="s">
        <v>17</v>
      </c>
      <c r="D58" s="5" t="s">
        <v>214</v>
      </c>
      <c r="E58" s="5" t="s">
        <v>215</v>
      </c>
      <c r="F58" s="5" t="s">
        <v>211</v>
      </c>
      <c r="G58" s="5" t="s">
        <v>212</v>
      </c>
      <c r="H58" s="5" t="s">
        <v>22</v>
      </c>
      <c r="I58" s="5" t="s">
        <v>23</v>
      </c>
      <c r="J58" s="6" t="str">
        <f aca="false">HYPERLINK("https://www.aveva.com/","Official site")</f>
        <v>Official site</v>
      </c>
      <c r="K58" s="6" t="str">
        <f aca="false">HYPERLINK("https://www.aveva.com/","Evidence / lead")</f>
        <v>Evidence / lead</v>
      </c>
      <c r="L58" s="6" t="str">
        <f aca="false">HYPERLINK("https://www.aveva.com/","Language source")</f>
        <v>Language source</v>
      </c>
    </row>
    <row r="59" customFormat="false" ht="23.85" hidden="false" customHeight="false" outlineLevel="0" collapsed="false">
      <c r="A59" s="5" t="s">
        <v>201</v>
      </c>
      <c r="B59" s="5" t="s">
        <v>216</v>
      </c>
      <c r="C59" s="5" t="s">
        <v>17</v>
      </c>
      <c r="D59" s="5" t="s">
        <v>217</v>
      </c>
      <c r="E59" s="5" t="s">
        <v>218</v>
      </c>
      <c r="F59" s="5" t="s">
        <v>211</v>
      </c>
      <c r="G59" s="5" t="s">
        <v>212</v>
      </c>
      <c r="H59" s="5" t="s">
        <v>22</v>
      </c>
      <c r="I59" s="5" t="s">
        <v>23</v>
      </c>
      <c r="J59" s="6" t="str">
        <f aca="false">HYPERLINK("https://www.aveva.com/","Official site")</f>
        <v>Official site</v>
      </c>
      <c r="K59" s="6" t="str">
        <f aca="false">HYPERLINK("https://www.aveva.com/","Evidence / lead")</f>
        <v>Evidence / lead</v>
      </c>
      <c r="L59" s="6" t="str">
        <f aca="false">HYPERLINK("https://www.aveva.com/","Language source")</f>
        <v>Language source</v>
      </c>
    </row>
    <row r="60" customFormat="false" ht="23.85" hidden="false" customHeight="false" outlineLevel="0" collapsed="false">
      <c r="A60" s="5" t="s">
        <v>201</v>
      </c>
      <c r="B60" s="5" t="s">
        <v>219</v>
      </c>
      <c r="C60" s="5" t="s">
        <v>17</v>
      </c>
      <c r="D60" s="5" t="s">
        <v>220</v>
      </c>
      <c r="E60" s="5" t="s">
        <v>221</v>
      </c>
      <c r="F60" s="5" t="s">
        <v>211</v>
      </c>
      <c r="G60" s="5" t="s">
        <v>212</v>
      </c>
      <c r="H60" s="5" t="s">
        <v>22</v>
      </c>
      <c r="I60" s="5" t="s">
        <v>30</v>
      </c>
      <c r="J60" s="6" t="str">
        <f aca="false">HYPERLINK("https://www.rockwellautomation.com/","Official site")</f>
        <v>Official site</v>
      </c>
      <c r="K60" s="6" t="str">
        <f aca="false">HYPERLINK("https://www.rockwellautomation.com/","Evidence / lead")</f>
        <v>Evidence / lead</v>
      </c>
      <c r="L60" s="6" t="str">
        <f aca="false">HYPERLINK("https://www.rockwellautomation.com/","Language source")</f>
        <v>Language source</v>
      </c>
    </row>
    <row r="61" customFormat="false" ht="23.85" hidden="false" customHeight="false" outlineLevel="0" collapsed="false">
      <c r="A61" s="5" t="s">
        <v>201</v>
      </c>
      <c r="B61" s="5" t="s">
        <v>222</v>
      </c>
      <c r="C61" s="5" t="s">
        <v>17</v>
      </c>
      <c r="D61" s="5" t="s">
        <v>223</v>
      </c>
      <c r="E61" s="5" t="s">
        <v>224</v>
      </c>
      <c r="F61" s="5" t="s">
        <v>211</v>
      </c>
      <c r="G61" s="5" t="s">
        <v>212</v>
      </c>
      <c r="H61" s="5" t="s">
        <v>22</v>
      </c>
      <c r="I61" s="5" t="s">
        <v>37</v>
      </c>
      <c r="J61" s="6" t="str">
        <f aca="false">HYPERLINK("https://www.vtscada.com/","Official site")</f>
        <v>Official site</v>
      </c>
      <c r="K61" s="6" t="str">
        <f aca="false">HYPERLINK("https://www.vtscada.com/","Evidence / lead")</f>
        <v>Evidence / lead</v>
      </c>
      <c r="L61" s="6" t="str">
        <f aca="false">HYPERLINK("https://www.vtscada.com/","Language source")</f>
        <v>Language source</v>
      </c>
    </row>
    <row r="62" customFormat="false" ht="23.85" hidden="false" customHeight="false" outlineLevel="0" collapsed="false">
      <c r="A62" s="5" t="s">
        <v>201</v>
      </c>
      <c r="B62" s="5" t="s">
        <v>225</v>
      </c>
      <c r="C62" s="5" t="s">
        <v>17</v>
      </c>
      <c r="D62" s="5" t="s">
        <v>226</v>
      </c>
      <c r="E62" s="5" t="s">
        <v>227</v>
      </c>
      <c r="F62" s="5" t="s">
        <v>211</v>
      </c>
      <c r="G62" s="5" t="s">
        <v>212</v>
      </c>
      <c r="H62" s="5" t="s">
        <v>22</v>
      </c>
      <c r="I62" s="5" t="s">
        <v>23</v>
      </c>
      <c r="J62" s="6" t="str">
        <f aca="false">HYPERLINK("https://www.copadata.com/","Official site")</f>
        <v>Official site</v>
      </c>
      <c r="K62" s="6" t="str">
        <f aca="false">HYPERLINK("https://www.copadata.com/","Evidence / lead")</f>
        <v>Evidence / lead</v>
      </c>
      <c r="L62" s="6" t="str">
        <f aca="false">HYPERLINK("https://www.copadata.com/","Language source")</f>
        <v>Language source</v>
      </c>
    </row>
    <row r="63" customFormat="false" ht="23.85" hidden="false" customHeight="false" outlineLevel="0" collapsed="false">
      <c r="A63" s="5" t="s">
        <v>201</v>
      </c>
      <c r="B63" s="5" t="s">
        <v>228</v>
      </c>
      <c r="C63" s="5" t="s">
        <v>17</v>
      </c>
      <c r="D63" s="5" t="s">
        <v>229</v>
      </c>
      <c r="E63" s="5" t="s">
        <v>230</v>
      </c>
      <c r="F63" s="5" t="s">
        <v>211</v>
      </c>
      <c r="G63" s="5" t="s">
        <v>212</v>
      </c>
      <c r="H63" s="5" t="s">
        <v>22</v>
      </c>
      <c r="I63" s="5" t="s">
        <v>23</v>
      </c>
      <c r="J63" s="6" t="str">
        <f aca="false">HYPERLINK("https://www.movicon.info/","Official site")</f>
        <v>Official site</v>
      </c>
      <c r="K63" s="6" t="str">
        <f aca="false">HYPERLINK("https://www.movicon.info/","Evidence / lead")</f>
        <v>Evidence / lead</v>
      </c>
      <c r="L63" s="6" t="str">
        <f aca="false">HYPERLINK("https://www.movicon.info/","Language source")</f>
        <v>Language source</v>
      </c>
    </row>
    <row r="64" customFormat="false" ht="23.85" hidden="false" customHeight="false" outlineLevel="0" collapsed="false">
      <c r="A64" s="5" t="s">
        <v>201</v>
      </c>
      <c r="B64" s="5" t="s">
        <v>231</v>
      </c>
      <c r="C64" s="5" t="s">
        <v>232</v>
      </c>
      <c r="D64" s="5" t="s">
        <v>233</v>
      </c>
      <c r="E64" s="5" t="s">
        <v>234</v>
      </c>
      <c r="F64" s="5" t="s">
        <v>151</v>
      </c>
      <c r="G64" s="5" t="s">
        <v>152</v>
      </c>
      <c r="H64" s="5" t="s">
        <v>153</v>
      </c>
      <c r="I64" s="5" t="s">
        <v>23</v>
      </c>
      <c r="J64" s="6" t="str">
        <f aca="false">HYPERLINK("https://rapidscada.org/","Official site")</f>
        <v>Official site</v>
      </c>
      <c r="K64" s="6" t="str">
        <f aca="false">HYPERLINK("https://rapidscada.org/","Evidence / lead")</f>
        <v>Evidence / lead</v>
      </c>
      <c r="L64" s="6" t="str">
        <f aca="false">HYPERLINK("https://rapidscada.org/","Language source")</f>
        <v>Language source</v>
      </c>
    </row>
    <row r="65" customFormat="false" ht="23.85" hidden="false" customHeight="false" outlineLevel="0" collapsed="false">
      <c r="A65" s="5" t="s">
        <v>201</v>
      </c>
      <c r="B65" s="5" t="s">
        <v>235</v>
      </c>
      <c r="C65" s="5" t="s">
        <v>48</v>
      </c>
      <c r="D65" s="5" t="s">
        <v>236</v>
      </c>
      <c r="E65" s="5" t="s">
        <v>237</v>
      </c>
      <c r="F65" s="5" t="s">
        <v>151</v>
      </c>
      <c r="G65" s="5" t="s">
        <v>152</v>
      </c>
      <c r="H65" s="5" t="s">
        <v>153</v>
      </c>
      <c r="I65" s="5" t="s">
        <v>37</v>
      </c>
      <c r="J65" s="6" t="str">
        <f aca="false">HYPERLINK("https://github.com/frangoteam/FUXA","Official site")</f>
        <v>Official site</v>
      </c>
      <c r="K65" s="6" t="str">
        <f aca="false">HYPERLINK("https://github.com/frangoteam/FUXA","Evidence / lead")</f>
        <v>Evidence / lead</v>
      </c>
      <c r="L65" s="6" t="str">
        <f aca="false">HYPERLINK("https://github.com/frangoteam/FUXA","Language source")</f>
        <v>Language source</v>
      </c>
    </row>
    <row r="66" customFormat="false" ht="23.85" hidden="false" customHeight="false" outlineLevel="0" collapsed="false">
      <c r="A66" s="5" t="s">
        <v>238</v>
      </c>
      <c r="B66" s="5" t="s">
        <v>239</v>
      </c>
      <c r="C66" s="5" t="s">
        <v>17</v>
      </c>
      <c r="D66" s="5" t="s">
        <v>240</v>
      </c>
      <c r="E66" s="5" t="s">
        <v>241</v>
      </c>
      <c r="F66" s="5" t="s">
        <v>242</v>
      </c>
      <c r="G66" s="5" t="s">
        <v>243</v>
      </c>
      <c r="H66" s="5" t="s">
        <v>22</v>
      </c>
      <c r="I66" s="5" t="s">
        <v>23</v>
      </c>
      <c r="J66" s="6" t="str">
        <f aca="false">HYPERLINK("https://www.eplan-software.com/","Official site")</f>
        <v>Official site</v>
      </c>
      <c r="K66" s="6" t="str">
        <f aca="false">HYPERLINK("https://www.eplan-software.com/solutions/eplan-collaboration-apps/","Evidence / lead")</f>
        <v>Evidence / lead</v>
      </c>
      <c r="L66" s="6" t="str">
        <f aca="false">HYPERLINK("https://www.ptc.com/en/products/creo","Language source")</f>
        <v>Language source</v>
      </c>
    </row>
    <row r="67" customFormat="false" ht="23.85" hidden="false" customHeight="false" outlineLevel="0" collapsed="false">
      <c r="A67" s="5" t="s">
        <v>238</v>
      </c>
      <c r="B67" s="5" t="s">
        <v>244</v>
      </c>
      <c r="C67" s="5" t="s">
        <v>17</v>
      </c>
      <c r="D67" s="5" t="s">
        <v>245</v>
      </c>
      <c r="E67" s="5" t="s">
        <v>246</v>
      </c>
      <c r="F67" s="5" t="s">
        <v>242</v>
      </c>
      <c r="G67" s="5" t="s">
        <v>243</v>
      </c>
      <c r="H67" s="5" t="s">
        <v>22</v>
      </c>
      <c r="I67" s="5" t="s">
        <v>23</v>
      </c>
      <c r="J67" s="6" t="str">
        <f aca="false">HYPERLINK("https://www.autodesk.com/","Official site")</f>
        <v>Official site</v>
      </c>
      <c r="K67" s="6" t="str">
        <f aca="false">HYPERLINK("https://www.autodesk.com/products/civil-3d/overview","Evidence / lead")</f>
        <v>Evidence / lead</v>
      </c>
      <c r="L67" s="6" t="str">
        <f aca="false">HYPERLINK("https://www.ptc.com/en/products/creo","Language source")</f>
        <v>Language source</v>
      </c>
    </row>
    <row r="68" customFormat="false" ht="23.85" hidden="false" customHeight="false" outlineLevel="0" collapsed="false">
      <c r="A68" s="5" t="s">
        <v>238</v>
      </c>
      <c r="B68" s="5" t="s">
        <v>247</v>
      </c>
      <c r="C68" s="5" t="s">
        <v>17</v>
      </c>
      <c r="D68" s="5" t="s">
        <v>248</v>
      </c>
      <c r="E68" s="5" t="s">
        <v>249</v>
      </c>
      <c r="F68" s="5" t="s">
        <v>242</v>
      </c>
      <c r="G68" s="5" t="s">
        <v>243</v>
      </c>
      <c r="H68" s="5" t="s">
        <v>22</v>
      </c>
      <c r="I68" s="5" t="s">
        <v>23</v>
      </c>
      <c r="J68" s="6" t="str">
        <f aca="false">HYPERLINK("https://www.zuken.com/","Official site")</f>
        <v>Official site</v>
      </c>
      <c r="K68" s="6" t="str">
        <f aca="false">HYPERLINK("https://www.zuken.com/","Evidence / lead")</f>
        <v>Evidence / lead</v>
      </c>
      <c r="L68" s="6" t="str">
        <f aca="false">HYPERLINK("https://www.ptc.com/en/products/creo","Language source")</f>
        <v>Language source</v>
      </c>
    </row>
    <row r="69" customFormat="false" ht="23.85" hidden="false" customHeight="false" outlineLevel="0" collapsed="false">
      <c r="A69" s="5" t="s">
        <v>238</v>
      </c>
      <c r="B69" s="5" t="s">
        <v>250</v>
      </c>
      <c r="C69" s="5" t="s">
        <v>17</v>
      </c>
      <c r="D69" s="5" t="s">
        <v>251</v>
      </c>
      <c r="E69" s="5" t="s">
        <v>252</v>
      </c>
      <c r="F69" s="5" t="s">
        <v>242</v>
      </c>
      <c r="G69" s="5" t="s">
        <v>243</v>
      </c>
      <c r="H69" s="5" t="s">
        <v>22</v>
      </c>
      <c r="I69" s="5" t="s">
        <v>30</v>
      </c>
      <c r="J69" s="6" t="str">
        <f aca="false">HYPERLINK("https://www.ige-xao.com/","Official site")</f>
        <v>Official site</v>
      </c>
      <c r="K69" s="6" t="str">
        <f aca="false">HYPERLINK("https://www.ige-xao.com/","Evidence / lead")</f>
        <v>Evidence / lead</v>
      </c>
      <c r="L69" s="6" t="str">
        <f aca="false">HYPERLINK("https://www.ptc.com/en/products/creo","Language source")</f>
        <v>Language source</v>
      </c>
    </row>
    <row r="70" customFormat="false" ht="23.85" hidden="false" customHeight="false" outlineLevel="0" collapsed="false">
      <c r="A70" s="5" t="s">
        <v>238</v>
      </c>
      <c r="B70" s="5" t="s">
        <v>253</v>
      </c>
      <c r="C70" s="5" t="s">
        <v>17</v>
      </c>
      <c r="D70" s="5" t="s">
        <v>254</v>
      </c>
      <c r="E70" s="5" t="s">
        <v>255</v>
      </c>
      <c r="F70" s="5" t="s">
        <v>242</v>
      </c>
      <c r="G70" s="5" t="s">
        <v>243</v>
      </c>
      <c r="H70" s="5" t="s">
        <v>22</v>
      </c>
      <c r="I70" s="5" t="s">
        <v>23</v>
      </c>
      <c r="J70" s="6" t="str">
        <f aca="false">HYPERLINK("https://www.wscad.com/","Official site")</f>
        <v>Official site</v>
      </c>
      <c r="K70" s="6" t="str">
        <f aca="false">HYPERLINK("https://www.wscad.com/","Evidence / lead")</f>
        <v>Evidence / lead</v>
      </c>
      <c r="L70" s="6" t="str">
        <f aca="false">HYPERLINK("https://www.ptc.com/en/products/creo","Language source")</f>
        <v>Language source</v>
      </c>
    </row>
    <row r="71" customFormat="false" ht="23.85" hidden="false" customHeight="false" outlineLevel="0" collapsed="false">
      <c r="A71" s="5" t="s">
        <v>238</v>
      </c>
      <c r="B71" s="5" t="s">
        <v>256</v>
      </c>
      <c r="C71" s="5" t="s">
        <v>17</v>
      </c>
      <c r="D71" s="5" t="s">
        <v>257</v>
      </c>
      <c r="E71" s="5" t="s">
        <v>258</v>
      </c>
      <c r="F71" s="5" t="s">
        <v>242</v>
      </c>
      <c r="G71" s="5" t="s">
        <v>243</v>
      </c>
      <c r="H71" s="5" t="s">
        <v>22</v>
      </c>
      <c r="I71" s="5" t="s">
        <v>23</v>
      </c>
      <c r="J71" s="6" t="str">
        <f aca="false">HYPERLINK("https://www.solidworks.com/","Official site")</f>
        <v>Official site</v>
      </c>
      <c r="K71" s="6" t="str">
        <f aca="false">HYPERLINK("https://www.solidworks.com/","Evidence / lead")</f>
        <v>Evidence / lead</v>
      </c>
      <c r="L71" s="6" t="str">
        <f aca="false">HYPERLINK("https://www.ptc.com/en/products/creo","Language source")</f>
        <v>Language source</v>
      </c>
    </row>
    <row r="72" customFormat="false" ht="23.85" hidden="false" customHeight="false" outlineLevel="0" collapsed="false">
      <c r="A72" s="5" t="s">
        <v>238</v>
      </c>
      <c r="B72" s="5" t="s">
        <v>259</v>
      </c>
      <c r="C72" s="5" t="s">
        <v>17</v>
      </c>
      <c r="D72" s="5" t="s">
        <v>260</v>
      </c>
      <c r="E72" s="5" t="s">
        <v>261</v>
      </c>
      <c r="F72" s="5" t="s">
        <v>242</v>
      </c>
      <c r="G72" s="5" t="s">
        <v>243</v>
      </c>
      <c r="H72" s="5" t="s">
        <v>22</v>
      </c>
      <c r="I72" s="5" t="s">
        <v>23</v>
      </c>
      <c r="J72" s="6" t="str">
        <f aca="false">HYPERLINK("https://www.aucotec.com/","Official site")</f>
        <v>Official site</v>
      </c>
      <c r="K72" s="6" t="str">
        <f aca="false">HYPERLINK("https://www.aucotec.com/","Evidence / lead")</f>
        <v>Evidence / lead</v>
      </c>
      <c r="L72" s="6" t="str">
        <f aca="false">HYPERLINK("https://www.ptc.com/en/products/creo","Language source")</f>
        <v>Language source</v>
      </c>
    </row>
    <row r="73" customFormat="false" ht="23.85" hidden="false" customHeight="false" outlineLevel="0" collapsed="false">
      <c r="A73" s="5" t="s">
        <v>238</v>
      </c>
      <c r="B73" s="5" t="s">
        <v>262</v>
      </c>
      <c r="C73" s="5" t="s">
        <v>17</v>
      </c>
      <c r="D73" s="5" t="s">
        <v>263</v>
      </c>
      <c r="E73" s="5" t="s">
        <v>264</v>
      </c>
      <c r="F73" s="5" t="s">
        <v>242</v>
      </c>
      <c r="G73" s="5" t="s">
        <v>243</v>
      </c>
      <c r="H73" s="5" t="s">
        <v>22</v>
      </c>
      <c r="I73" s="5" t="s">
        <v>30</v>
      </c>
      <c r="J73" s="6" t="str">
        <f aca="false">HYPERLINK("https://www.siemens.com/","Official site")</f>
        <v>Official site</v>
      </c>
      <c r="K73" s="6" t="str">
        <f aca="false">HYPERLINK("https://www.siemens.com/en-gb/products/tia-portal/step7/","Evidence / lead")</f>
        <v>Evidence / lead</v>
      </c>
      <c r="L73" s="6" t="str">
        <f aca="false">HYPERLINK("https://www.ptc.com/en/products/creo","Language source")</f>
        <v>Language source</v>
      </c>
    </row>
    <row r="74" customFormat="false" ht="23.85" hidden="false" customHeight="false" outlineLevel="0" collapsed="false">
      <c r="A74" s="5" t="s">
        <v>238</v>
      </c>
      <c r="B74" s="5" t="s">
        <v>265</v>
      </c>
      <c r="C74" s="5" t="s">
        <v>17</v>
      </c>
      <c r="D74" s="5" t="s">
        <v>266</v>
      </c>
      <c r="E74" s="5" t="s">
        <v>267</v>
      </c>
      <c r="F74" s="5" t="s">
        <v>242</v>
      </c>
      <c r="G74" s="5" t="s">
        <v>243</v>
      </c>
      <c r="H74" s="5" t="s">
        <v>22</v>
      </c>
      <c r="I74" s="5" t="s">
        <v>37</v>
      </c>
      <c r="J74" s="6" t="str">
        <f aca="false">HYPERLINK("https://www.caneco.com/","Official site")</f>
        <v>Official site</v>
      </c>
      <c r="K74" s="6" t="str">
        <f aca="false">HYPERLINK("https://www.caneco.com/","Evidence / lead")</f>
        <v>Evidence / lead</v>
      </c>
      <c r="L74" s="6" t="str">
        <f aca="false">HYPERLINK("https://www.ptc.com/en/products/creo","Language source")</f>
        <v>Language source</v>
      </c>
    </row>
    <row r="75" customFormat="false" ht="23.85" hidden="false" customHeight="false" outlineLevel="0" collapsed="false">
      <c r="A75" s="5" t="s">
        <v>238</v>
      </c>
      <c r="B75" s="5" t="s">
        <v>268</v>
      </c>
      <c r="C75" s="5" t="s">
        <v>48</v>
      </c>
      <c r="D75" s="5" t="s">
        <v>269</v>
      </c>
      <c r="E75" s="5" t="s">
        <v>270</v>
      </c>
      <c r="F75" s="5" t="s">
        <v>151</v>
      </c>
      <c r="G75" s="5" t="s">
        <v>152</v>
      </c>
      <c r="H75" s="5" t="s">
        <v>153</v>
      </c>
      <c r="I75" s="5" t="s">
        <v>23</v>
      </c>
      <c r="J75" s="6" t="str">
        <f aca="false">HYPERLINK("https://qelectrotech.org/","Official site")</f>
        <v>Official site</v>
      </c>
      <c r="K75" s="6" t="str">
        <f aca="false">HYPERLINK("https://qelectrotech.org/","Evidence / lead")</f>
        <v>Evidence / lead</v>
      </c>
      <c r="L75" s="6" t="str">
        <f aca="false">HYPERLINK("https://qelectrotech.org/","Language source")</f>
        <v>Language source</v>
      </c>
    </row>
    <row r="76" customFormat="false" ht="23.85" hidden="false" customHeight="false" outlineLevel="0" collapsed="false">
      <c r="A76" s="5" t="s">
        <v>271</v>
      </c>
      <c r="B76" s="5" t="s">
        <v>272</v>
      </c>
      <c r="C76" s="5" t="s">
        <v>17</v>
      </c>
      <c r="D76" s="5" t="s">
        <v>273</v>
      </c>
      <c r="E76" s="5" t="s">
        <v>274</v>
      </c>
      <c r="F76" s="5" t="s">
        <v>20</v>
      </c>
      <c r="G76" s="5" t="s">
        <v>21</v>
      </c>
      <c r="H76" s="5" t="s">
        <v>22</v>
      </c>
      <c r="I76" s="5" t="s">
        <v>23</v>
      </c>
      <c r="J76" s="6" t="str">
        <f aca="false">HYPERLINK("https://www.pvsyst.com/en/products/pvsyst/","Official site")</f>
        <v>Official site</v>
      </c>
      <c r="K76" s="6" t="str">
        <f aca="false">HYPERLINK("https://www.pvsyst.com/en/products/pvsyst/","Evidence / lead")</f>
        <v>Evidence / lead</v>
      </c>
      <c r="L76" s="6" t="str">
        <f aca="false">HYPERLINK("https://www.ansys.com/products","Language source")</f>
        <v>Language source</v>
      </c>
    </row>
    <row r="77" customFormat="false" ht="23.85" hidden="false" customHeight="false" outlineLevel="0" collapsed="false">
      <c r="A77" s="5" t="s">
        <v>271</v>
      </c>
      <c r="B77" s="5" t="s">
        <v>275</v>
      </c>
      <c r="C77" s="5" t="s">
        <v>17</v>
      </c>
      <c r="D77" s="5" t="s">
        <v>276</v>
      </c>
      <c r="E77" s="5" t="s">
        <v>277</v>
      </c>
      <c r="F77" s="5" t="s">
        <v>20</v>
      </c>
      <c r="G77" s="5" t="s">
        <v>21</v>
      </c>
      <c r="H77" s="5" t="s">
        <v>22</v>
      </c>
      <c r="I77" s="5" t="s">
        <v>23</v>
      </c>
      <c r="J77" s="6" t="str">
        <f aca="false">HYPERLINK("https://www.homerenergy.com/","Official site")</f>
        <v>Official site</v>
      </c>
      <c r="K77" s="6" t="str">
        <f aca="false">HYPERLINK("https://www.homerenergy.com/","Evidence / lead")</f>
        <v>Evidence / lead</v>
      </c>
      <c r="L77" s="6" t="str">
        <f aca="false">HYPERLINK("https://www.ansys.com/products","Language source")</f>
        <v>Language source</v>
      </c>
    </row>
    <row r="78" customFormat="false" ht="23.85" hidden="false" customHeight="false" outlineLevel="0" collapsed="false">
      <c r="A78" s="5" t="s">
        <v>271</v>
      </c>
      <c r="B78" s="5" t="s">
        <v>278</v>
      </c>
      <c r="C78" s="5" t="s">
        <v>17</v>
      </c>
      <c r="D78" s="5" t="s">
        <v>279</v>
      </c>
      <c r="E78" s="5" t="s">
        <v>280</v>
      </c>
      <c r="F78" s="5" t="s">
        <v>20</v>
      </c>
      <c r="G78" s="5" t="s">
        <v>21</v>
      </c>
      <c r="H78" s="5" t="s">
        <v>22</v>
      </c>
      <c r="I78" s="5" t="s">
        <v>30</v>
      </c>
      <c r="J78" s="6" t="str">
        <f aca="false">HYPERLINK("https://valentin-software.com/","Official site")</f>
        <v>Official site</v>
      </c>
      <c r="K78" s="6" t="str">
        <f aca="false">HYPERLINK("https://valentin-software.com/","Evidence / lead")</f>
        <v>Evidence / lead</v>
      </c>
      <c r="L78" s="6" t="str">
        <f aca="false">HYPERLINK("https://www.ansys.com/products","Language source")</f>
        <v>Language source</v>
      </c>
    </row>
    <row r="79" customFormat="false" ht="23.85" hidden="false" customHeight="false" outlineLevel="0" collapsed="false">
      <c r="A79" s="5" t="s">
        <v>271</v>
      </c>
      <c r="B79" s="5" t="s">
        <v>281</v>
      </c>
      <c r="C79" s="5" t="s">
        <v>17</v>
      </c>
      <c r="D79" s="5" t="s">
        <v>282</v>
      </c>
      <c r="E79" s="5" t="s">
        <v>283</v>
      </c>
      <c r="F79" s="5" t="s">
        <v>20</v>
      </c>
      <c r="G79" s="5" t="s">
        <v>21</v>
      </c>
      <c r="H79" s="5" t="s">
        <v>22</v>
      </c>
      <c r="I79" s="5" t="s">
        <v>23</v>
      </c>
      <c r="J79" s="6" t="str">
        <f aca="false">HYPERLINK("https://helioscope.com/","Official site")</f>
        <v>Official site</v>
      </c>
      <c r="K79" s="6" t="str">
        <f aca="false">HYPERLINK("https://helioscope.com/","Evidence / lead")</f>
        <v>Evidence / lead</v>
      </c>
      <c r="L79" s="6" t="str">
        <f aca="false">HYPERLINK("https://www.ansys.com/products","Language source")</f>
        <v>Language source</v>
      </c>
    </row>
    <row r="80" customFormat="false" ht="23.85" hidden="false" customHeight="false" outlineLevel="0" collapsed="false">
      <c r="A80" s="5" t="s">
        <v>271</v>
      </c>
      <c r="B80" s="5" t="s">
        <v>284</v>
      </c>
      <c r="C80" s="5" t="s">
        <v>48</v>
      </c>
      <c r="D80" s="5" t="s">
        <v>285</v>
      </c>
      <c r="E80" s="5" t="s">
        <v>286</v>
      </c>
      <c r="F80" s="5" t="s">
        <v>151</v>
      </c>
      <c r="G80" s="5" t="s">
        <v>152</v>
      </c>
      <c r="H80" s="5" t="s">
        <v>153</v>
      </c>
      <c r="I80" s="5" t="s">
        <v>37</v>
      </c>
      <c r="J80" s="6" t="str">
        <f aca="false">HYPERLINK("https://sam.nrel.gov/","Official site")</f>
        <v>Official site</v>
      </c>
      <c r="K80" s="6" t="str">
        <f aca="false">HYPERLINK("https://sam.nrel.gov/","Evidence / lead")</f>
        <v>Evidence / lead</v>
      </c>
      <c r="L80" s="6" t="str">
        <f aca="false">HYPERLINK("https://sam.nrel.gov/","Language source")</f>
        <v>Language source</v>
      </c>
    </row>
    <row r="81" customFormat="false" ht="23.85" hidden="false" customHeight="false" outlineLevel="0" collapsed="false">
      <c r="A81" s="5" t="s">
        <v>271</v>
      </c>
      <c r="B81" s="5" t="s">
        <v>287</v>
      </c>
      <c r="C81" s="5" t="s">
        <v>17</v>
      </c>
      <c r="D81" s="5" t="s">
        <v>288</v>
      </c>
      <c r="E81" s="5" t="s">
        <v>289</v>
      </c>
      <c r="F81" s="5" t="s">
        <v>20</v>
      </c>
      <c r="G81" s="5" t="s">
        <v>21</v>
      </c>
      <c r="H81" s="5" t="s">
        <v>22</v>
      </c>
      <c r="I81" s="5" t="s">
        <v>23</v>
      </c>
      <c r="J81" s="6" t="str">
        <f aca="false">HYPERLINK("https://www.emd-international.com/","Official site")</f>
        <v>Official site</v>
      </c>
      <c r="K81" s="6" t="str">
        <f aca="false">HYPERLINK("https://www.emd-international.com/","Evidence / lead")</f>
        <v>Evidence / lead</v>
      </c>
      <c r="L81" s="6" t="str">
        <f aca="false">HYPERLINK("https://www.ansys.com/products","Language source")</f>
        <v>Language source</v>
      </c>
    </row>
    <row r="82" customFormat="false" ht="23.85" hidden="false" customHeight="false" outlineLevel="0" collapsed="false">
      <c r="A82" s="5" t="s">
        <v>271</v>
      </c>
      <c r="B82" s="5" t="s">
        <v>290</v>
      </c>
      <c r="C82" s="5" t="s">
        <v>17</v>
      </c>
      <c r="D82" s="5" t="s">
        <v>291</v>
      </c>
      <c r="E82" s="5" t="s">
        <v>292</v>
      </c>
      <c r="F82" s="5" t="s">
        <v>20</v>
      </c>
      <c r="G82" s="5" t="s">
        <v>21</v>
      </c>
      <c r="H82" s="5" t="s">
        <v>22</v>
      </c>
      <c r="I82" s="5" t="s">
        <v>30</v>
      </c>
      <c r="J82" s="6" t="str">
        <f aca="false">HYPERLINK("https://www.dnv.com/","Official site")</f>
        <v>Official site</v>
      </c>
      <c r="K82" s="6" t="str">
        <f aca="false">HYPERLINK("https://www.dnv.com/","Evidence / lead")</f>
        <v>Evidence / lead</v>
      </c>
      <c r="L82" s="6" t="str">
        <f aca="false">HYPERLINK("https://www.ansys.com/products","Language source")</f>
        <v>Language source</v>
      </c>
    </row>
    <row r="83" customFormat="false" ht="23.85" hidden="false" customHeight="false" outlineLevel="0" collapsed="false">
      <c r="A83" s="5" t="s">
        <v>271</v>
      </c>
      <c r="B83" s="5" t="s">
        <v>293</v>
      </c>
      <c r="C83" s="5" t="s">
        <v>17</v>
      </c>
      <c r="D83" s="5" t="s">
        <v>294</v>
      </c>
      <c r="E83" s="5" t="s">
        <v>295</v>
      </c>
      <c r="F83" s="5" t="s">
        <v>20</v>
      </c>
      <c r="G83" s="5" t="s">
        <v>21</v>
      </c>
      <c r="H83" s="5" t="s">
        <v>22</v>
      </c>
      <c r="I83" s="5" t="s">
        <v>23</v>
      </c>
      <c r="J83" s="6" t="str">
        <f aca="false">HYPERLINK("https://www.wasp.dk/","Official site")</f>
        <v>Official site</v>
      </c>
      <c r="K83" s="6" t="str">
        <f aca="false">HYPERLINK("https://www.wasp.dk/","Evidence / lead")</f>
        <v>Evidence / lead</v>
      </c>
      <c r="L83" s="6" t="str">
        <f aca="false">HYPERLINK("https://www.ansys.com/products","Language source")</f>
        <v>Language source</v>
      </c>
    </row>
    <row r="84" customFormat="false" ht="23.85" hidden="false" customHeight="false" outlineLevel="0" collapsed="false">
      <c r="A84" s="5" t="s">
        <v>271</v>
      </c>
      <c r="B84" s="5" t="s">
        <v>296</v>
      </c>
      <c r="C84" s="5" t="s">
        <v>297</v>
      </c>
      <c r="D84" s="5" t="s">
        <v>298</v>
      </c>
      <c r="E84" s="5" t="s">
        <v>299</v>
      </c>
      <c r="F84" s="5" t="s">
        <v>20</v>
      </c>
      <c r="G84" s="5" t="s">
        <v>21</v>
      </c>
      <c r="H84" s="5" t="s">
        <v>22</v>
      </c>
      <c r="I84" s="5" t="s">
        <v>37</v>
      </c>
      <c r="J84" s="6" t="str">
        <f aca="false">HYPERLINK("https://natural-resources.canada.ca/","Official site")</f>
        <v>Official site</v>
      </c>
      <c r="K84" s="6" t="str">
        <f aca="false">HYPERLINK("https://natural-resources.canada.ca/","Evidence / lead")</f>
        <v>Evidence / lead</v>
      </c>
      <c r="L84" s="6" t="str">
        <f aca="false">HYPERLINK("https://www.ansys.com/products","Language source")</f>
        <v>Language source</v>
      </c>
    </row>
    <row r="85" customFormat="false" ht="23.85" hidden="false" customHeight="false" outlineLevel="0" collapsed="false">
      <c r="A85" s="5" t="s">
        <v>271</v>
      </c>
      <c r="B85" s="5" t="s">
        <v>300</v>
      </c>
      <c r="C85" s="5" t="s">
        <v>48</v>
      </c>
      <c r="D85" s="5" t="s">
        <v>301</v>
      </c>
      <c r="E85" s="5" t="s">
        <v>302</v>
      </c>
      <c r="F85" s="5" t="s">
        <v>303</v>
      </c>
      <c r="G85" s="5" t="s">
        <v>58</v>
      </c>
      <c r="H85" s="5" t="s">
        <v>304</v>
      </c>
      <c r="I85" s="5" t="s">
        <v>23</v>
      </c>
      <c r="J85" s="6" t="str">
        <f aca="false">HYPERLINK("https://pypsa.org/","Official site")</f>
        <v>Official site</v>
      </c>
      <c r="K85" s="6" t="str">
        <f aca="false">HYPERLINK("https://pypsa.org/","Evidence / lead")</f>
        <v>Evidence / lead</v>
      </c>
      <c r="L85" s="6" t="str">
        <f aca="false">HYPERLINK("https://pypsa.org/","Language source")</f>
        <v>Language source</v>
      </c>
    </row>
    <row r="86" customFormat="false" ht="23.85" hidden="false" customHeight="false" outlineLevel="0" collapsed="false">
      <c r="A86" s="5" t="s">
        <v>305</v>
      </c>
      <c r="B86" s="5" t="s">
        <v>306</v>
      </c>
      <c r="C86" s="5" t="s">
        <v>17</v>
      </c>
      <c r="D86" s="5" t="s">
        <v>307</v>
      </c>
      <c r="E86" s="5" t="s">
        <v>308</v>
      </c>
      <c r="F86" s="5" t="s">
        <v>309</v>
      </c>
      <c r="G86" s="5" t="s">
        <v>310</v>
      </c>
      <c r="H86" s="5" t="s">
        <v>22</v>
      </c>
      <c r="I86" s="5" t="s">
        <v>23</v>
      </c>
      <c r="J86" s="6" t="str">
        <f aca="false">HYPERLINK("https://www.cadence.com/en_US/home/tools/pcb-design-and-analysis/analog-mixed-signal-simulation/pspice.html","Official site")</f>
        <v>Official site</v>
      </c>
      <c r="K86" s="6" t="str">
        <f aca="false">HYPERLINK("https://www.cadence.com/en_US/home/tools/pcb-design-and-analysis/analog-mixed-signal-simulation/pspice.html","Evidence / lead")</f>
        <v>Evidence / lead</v>
      </c>
      <c r="L86" s="6" t="str">
        <f aca="false">HYPERLINK("https://www.cadence.com/en_US/home/tools.html","Language source")</f>
        <v>Language source</v>
      </c>
    </row>
    <row r="87" customFormat="false" ht="23.85" hidden="false" customHeight="false" outlineLevel="0" collapsed="false">
      <c r="A87" s="5" t="s">
        <v>305</v>
      </c>
      <c r="B87" s="5" t="s">
        <v>311</v>
      </c>
      <c r="C87" s="5" t="s">
        <v>17</v>
      </c>
      <c r="D87" s="5" t="s">
        <v>312</v>
      </c>
      <c r="E87" s="5" t="s">
        <v>313</v>
      </c>
      <c r="F87" s="5" t="s">
        <v>309</v>
      </c>
      <c r="G87" s="5" t="s">
        <v>310</v>
      </c>
      <c r="H87" s="5" t="s">
        <v>22</v>
      </c>
      <c r="I87" s="5" t="s">
        <v>23</v>
      </c>
      <c r="J87" s="6" t="str">
        <f aca="false">HYPERLINK("https://www.cadence.com/en_US/home/tools/custom-ic-analog-rf-design/circuit-simulation.html","Official site")</f>
        <v>Official site</v>
      </c>
      <c r="K87" s="6" t="str">
        <f aca="false">HYPERLINK("https://www.cadence.com/en_US/home/tools/custom-ic-analog-rf-design/circuit-simulation.html","Evidence / lead")</f>
        <v>Evidence / lead</v>
      </c>
      <c r="L87" s="6" t="str">
        <f aca="false">HYPERLINK("https://www.cadence.com/en_US/home/tools.html","Language source")</f>
        <v>Language source</v>
      </c>
    </row>
    <row r="88" customFormat="false" ht="23.85" hidden="false" customHeight="false" outlineLevel="0" collapsed="false">
      <c r="A88" s="5" t="s">
        <v>305</v>
      </c>
      <c r="B88" s="5" t="s">
        <v>314</v>
      </c>
      <c r="C88" s="5" t="s">
        <v>17</v>
      </c>
      <c r="D88" s="5" t="s">
        <v>315</v>
      </c>
      <c r="E88" s="5" t="s">
        <v>316</v>
      </c>
      <c r="F88" s="5" t="s">
        <v>309</v>
      </c>
      <c r="G88" s="5" t="s">
        <v>310</v>
      </c>
      <c r="H88" s="5" t="s">
        <v>22</v>
      </c>
      <c r="I88" s="5" t="s">
        <v>30</v>
      </c>
      <c r="J88" s="6" t="str">
        <f aca="false">HYPERLINK("https://www.synopsys.com/","Official site")</f>
        <v>Official site</v>
      </c>
      <c r="K88" s="6" t="str">
        <f aca="false">HYPERLINK("https://www.synopsys.com/","Evidence / lead")</f>
        <v>Evidence / lead</v>
      </c>
      <c r="L88" s="6" t="str">
        <f aca="false">HYPERLINK("https://www.cadence.com/en_US/home/tools.html","Language source")</f>
        <v>Language source</v>
      </c>
    </row>
    <row r="89" customFormat="false" ht="23.85" hidden="false" customHeight="false" outlineLevel="0" collapsed="false">
      <c r="A89" s="5" t="s">
        <v>305</v>
      </c>
      <c r="B89" s="5" t="s">
        <v>317</v>
      </c>
      <c r="C89" s="5" t="s">
        <v>17</v>
      </c>
      <c r="D89" s="5" t="s">
        <v>318</v>
      </c>
      <c r="E89" s="5" t="s">
        <v>319</v>
      </c>
      <c r="F89" s="5" t="s">
        <v>309</v>
      </c>
      <c r="G89" s="5" t="s">
        <v>310</v>
      </c>
      <c r="H89" s="5" t="s">
        <v>22</v>
      </c>
      <c r="I89" s="5" t="s">
        <v>23</v>
      </c>
      <c r="J89" s="6" t="str">
        <f aca="false">HYPERLINK("https://www.siemens.com/","Official site")</f>
        <v>Official site</v>
      </c>
      <c r="K89" s="6" t="str">
        <f aca="false">HYPERLINK("https://www.siemens.com/en-gb/products/tia-portal/step7/","Evidence / lead")</f>
        <v>Evidence / lead</v>
      </c>
      <c r="L89" s="6" t="str">
        <f aca="false">HYPERLINK("https://www.cadence.com/en_US/home/tools.html","Language source")</f>
        <v>Language source</v>
      </c>
    </row>
    <row r="90" customFormat="false" ht="23.85" hidden="false" customHeight="false" outlineLevel="0" collapsed="false">
      <c r="A90" s="5" t="s">
        <v>305</v>
      </c>
      <c r="B90" s="5" t="s">
        <v>113</v>
      </c>
      <c r="C90" s="5" t="s">
        <v>17</v>
      </c>
      <c r="D90" s="5" t="s">
        <v>320</v>
      </c>
      <c r="E90" s="5" t="s">
        <v>321</v>
      </c>
      <c r="F90" s="5" t="s">
        <v>309</v>
      </c>
      <c r="G90" s="5" t="s">
        <v>310</v>
      </c>
      <c r="H90" s="5" t="s">
        <v>22</v>
      </c>
      <c r="I90" s="5" t="s">
        <v>23</v>
      </c>
      <c r="J90" s="6" t="str">
        <f aca="false">HYPERLINK("https://www.simetrix.co.uk/","Official site")</f>
        <v>Official site</v>
      </c>
      <c r="K90" s="6" t="str">
        <f aca="false">HYPERLINK("https://www.simetrix.co.uk/","Evidence / lead")</f>
        <v>Evidence / lead</v>
      </c>
      <c r="L90" s="6" t="str">
        <f aca="false">HYPERLINK("https://www.cadence.com/en_US/home/tools.html","Language source")</f>
        <v>Language source</v>
      </c>
    </row>
    <row r="91" customFormat="false" ht="23.85" hidden="false" customHeight="false" outlineLevel="0" collapsed="false">
      <c r="A91" s="5" t="s">
        <v>305</v>
      </c>
      <c r="B91" s="5" t="s">
        <v>322</v>
      </c>
      <c r="C91" s="5" t="s">
        <v>17</v>
      </c>
      <c r="D91" s="5" t="s">
        <v>323</v>
      </c>
      <c r="E91" s="5" t="s">
        <v>324</v>
      </c>
      <c r="F91" s="5" t="s">
        <v>309</v>
      </c>
      <c r="G91" s="5" t="s">
        <v>310</v>
      </c>
      <c r="H91" s="5" t="s">
        <v>22</v>
      </c>
      <c r="I91" s="5" t="s">
        <v>30</v>
      </c>
      <c r="J91" s="6" t="str">
        <f aca="false">HYPERLINK("https://www.ni.com/","Official site")</f>
        <v>Official site</v>
      </c>
      <c r="K91" s="6" t="str">
        <f aca="false">HYPERLINK("https://www.ni.com/en/support/documentation/supplemental/10/ni-labview-compiler--under-the-hood.html","Evidence / lead")</f>
        <v>Evidence / lead</v>
      </c>
      <c r="L91" s="6" t="str">
        <f aca="false">HYPERLINK("https://www.cadence.com/en_US/home/tools.html","Language source")</f>
        <v>Language source</v>
      </c>
    </row>
    <row r="92" customFormat="false" ht="23.85" hidden="false" customHeight="false" outlineLevel="0" collapsed="false">
      <c r="A92" s="5" t="s">
        <v>305</v>
      </c>
      <c r="B92" s="5" t="s">
        <v>116</v>
      </c>
      <c r="C92" s="5" t="s">
        <v>117</v>
      </c>
      <c r="D92" s="5" t="s">
        <v>325</v>
      </c>
      <c r="E92" s="5" t="s">
        <v>326</v>
      </c>
      <c r="F92" s="5" t="s">
        <v>309</v>
      </c>
      <c r="G92" s="5" t="s">
        <v>310</v>
      </c>
      <c r="H92" s="5" t="s">
        <v>22</v>
      </c>
      <c r="I92" s="5" t="s">
        <v>23</v>
      </c>
      <c r="J92" s="6" t="str">
        <f aca="false">HYPERLINK("https://www.analog.com/en/resources/design-tools-and-calculators/ltspice-simulator.html","Official site")</f>
        <v>Official site</v>
      </c>
      <c r="K92" s="6" t="str">
        <f aca="false">HYPERLINK("https://www.analog.com/en/resources/design-tools-and-calculators/ltspice-simulator.html","Evidence / lead")</f>
        <v>Evidence / lead</v>
      </c>
      <c r="L92" s="6" t="str">
        <f aca="false">HYPERLINK("https://www.cadence.com/en_US/home/tools.html","Language source")</f>
        <v>Language source</v>
      </c>
    </row>
    <row r="93" customFormat="false" ht="23.85" hidden="false" customHeight="false" outlineLevel="0" collapsed="false">
      <c r="A93" s="5" t="s">
        <v>305</v>
      </c>
      <c r="B93" s="5" t="s">
        <v>120</v>
      </c>
      <c r="C93" s="5" t="s">
        <v>117</v>
      </c>
      <c r="D93" s="5" t="s">
        <v>327</v>
      </c>
      <c r="E93" s="5" t="s">
        <v>326</v>
      </c>
      <c r="F93" s="5" t="s">
        <v>309</v>
      </c>
      <c r="G93" s="5" t="s">
        <v>310</v>
      </c>
      <c r="H93" s="5" t="s">
        <v>22</v>
      </c>
      <c r="I93" s="5" t="s">
        <v>23</v>
      </c>
      <c r="J93" s="6" t="str">
        <f aca="false">HYPERLINK("https://www.qorvo.com/design-hub/design-tools/interactive/qspice","Official site")</f>
        <v>Official site</v>
      </c>
      <c r="K93" s="6" t="str">
        <f aca="false">HYPERLINK("https://www.qorvo.com/design-hub/design-tools/interactive/qspice","Evidence / lead")</f>
        <v>Evidence / lead</v>
      </c>
      <c r="L93" s="6" t="str">
        <f aca="false">HYPERLINK("https://www.cadence.com/en_US/home/tools.html","Language source")</f>
        <v>Language source</v>
      </c>
    </row>
    <row r="94" customFormat="false" ht="23.85" hidden="false" customHeight="false" outlineLevel="0" collapsed="false">
      <c r="A94" s="5" t="s">
        <v>305</v>
      </c>
      <c r="B94" s="5" t="s">
        <v>328</v>
      </c>
      <c r="C94" s="5" t="s">
        <v>48</v>
      </c>
      <c r="D94" s="5" t="s">
        <v>329</v>
      </c>
      <c r="E94" s="5" t="s">
        <v>330</v>
      </c>
      <c r="F94" s="5" t="s">
        <v>331</v>
      </c>
      <c r="G94" s="5" t="s">
        <v>332</v>
      </c>
      <c r="H94" s="5" t="s">
        <v>333</v>
      </c>
      <c r="I94" s="5" t="s">
        <v>23</v>
      </c>
      <c r="J94" s="6" t="str">
        <f aca="false">HYPERLINK("https://ngspice.sourceforge.io/","Official site")</f>
        <v>Official site</v>
      </c>
      <c r="K94" s="6" t="str">
        <f aca="false">HYPERLINK("https://ngspice.sourceforge.io/","Evidence / lead")</f>
        <v>Evidence / lead</v>
      </c>
      <c r="L94" s="6" t="str">
        <f aca="false">HYPERLINK("https://ngspice.sourceforge.io/faq.html","Language source")</f>
        <v>Language source</v>
      </c>
    </row>
    <row r="95" customFormat="false" ht="23.85" hidden="false" customHeight="false" outlineLevel="0" collapsed="false">
      <c r="A95" s="5" t="s">
        <v>305</v>
      </c>
      <c r="B95" s="5" t="s">
        <v>334</v>
      </c>
      <c r="C95" s="5" t="s">
        <v>48</v>
      </c>
      <c r="D95" s="5" t="s">
        <v>335</v>
      </c>
      <c r="E95" s="5" t="s">
        <v>336</v>
      </c>
      <c r="F95" s="5" t="s">
        <v>151</v>
      </c>
      <c r="G95" s="5" t="s">
        <v>152</v>
      </c>
      <c r="H95" s="5" t="s">
        <v>153</v>
      </c>
      <c r="I95" s="5" t="s">
        <v>23</v>
      </c>
      <c r="J95" s="6" t="str">
        <f aca="false">HYPERLINK("https://xyce.sandia.gov/","Official site")</f>
        <v>Official site</v>
      </c>
      <c r="K95" s="6" t="str">
        <f aca="false">HYPERLINK("https://xyce.sandia.gov/","Evidence / lead")</f>
        <v>Evidence / lead</v>
      </c>
      <c r="L95" s="6" t="str">
        <f aca="false">HYPERLINK("https://xyce.sandia.gov/","Language source")</f>
        <v>Language source</v>
      </c>
    </row>
    <row r="96" customFormat="false" ht="23.85" hidden="false" customHeight="false" outlineLevel="0" collapsed="false">
      <c r="A96" s="5" t="s">
        <v>337</v>
      </c>
      <c r="B96" s="5" t="s">
        <v>338</v>
      </c>
      <c r="C96" s="5" t="s">
        <v>17</v>
      </c>
      <c r="D96" s="5" t="s">
        <v>339</v>
      </c>
      <c r="E96" s="5" t="s">
        <v>340</v>
      </c>
      <c r="F96" s="5" t="s">
        <v>309</v>
      </c>
      <c r="G96" s="5" t="s">
        <v>310</v>
      </c>
      <c r="H96" s="5" t="s">
        <v>22</v>
      </c>
      <c r="I96" s="5" t="s">
        <v>23</v>
      </c>
      <c r="J96" s="6" t="str">
        <f aca="false">HYPERLINK("https://www.altium.com/","Official site")</f>
        <v>Official site</v>
      </c>
      <c r="K96" s="6" t="str">
        <f aca="false">HYPERLINK("https://www.altium.com/","Evidence / lead")</f>
        <v>Evidence / lead</v>
      </c>
      <c r="L96" s="6" t="str">
        <f aca="false">HYPERLINK("https://www.cadence.com/en_US/home/tools.html","Language source")</f>
        <v>Language source</v>
      </c>
    </row>
    <row r="97" customFormat="false" ht="23.85" hidden="false" customHeight="false" outlineLevel="0" collapsed="false">
      <c r="A97" s="5" t="s">
        <v>337</v>
      </c>
      <c r="B97" s="5" t="s">
        <v>341</v>
      </c>
      <c r="C97" s="5" t="s">
        <v>17</v>
      </c>
      <c r="D97" s="5" t="s">
        <v>342</v>
      </c>
      <c r="E97" s="5" t="s">
        <v>343</v>
      </c>
      <c r="F97" s="5" t="s">
        <v>309</v>
      </c>
      <c r="G97" s="5" t="s">
        <v>310</v>
      </c>
      <c r="H97" s="5" t="s">
        <v>22</v>
      </c>
      <c r="I97" s="5" t="s">
        <v>23</v>
      </c>
      <c r="J97" s="6" t="str">
        <f aca="false">HYPERLINK("https://www.cadence.com/en_US/home/tools.html","Official site")</f>
        <v>Official site</v>
      </c>
      <c r="K97" s="6" t="str">
        <f aca="false">HYPERLINK("https://www.cadence.com/en_US/home/tools/pcb-design-and-analysis/allegro-x-design-platform.html","Evidence / lead")</f>
        <v>Evidence / lead</v>
      </c>
      <c r="L97" s="6" t="str">
        <f aca="false">HYPERLINK("https://www.cadence.com/en_US/home/tools.html","Language source")</f>
        <v>Language source</v>
      </c>
    </row>
    <row r="98" customFormat="false" ht="23.85" hidden="false" customHeight="false" outlineLevel="0" collapsed="false">
      <c r="A98" s="5" t="s">
        <v>337</v>
      </c>
      <c r="B98" s="5" t="s">
        <v>344</v>
      </c>
      <c r="C98" s="5" t="s">
        <v>17</v>
      </c>
      <c r="D98" s="5" t="s">
        <v>345</v>
      </c>
      <c r="E98" s="5" t="s">
        <v>346</v>
      </c>
      <c r="F98" s="5" t="s">
        <v>309</v>
      </c>
      <c r="G98" s="5" t="s">
        <v>310</v>
      </c>
      <c r="H98" s="5" t="s">
        <v>22</v>
      </c>
      <c r="I98" s="5" t="s">
        <v>23</v>
      </c>
      <c r="J98" s="6" t="str">
        <f aca="false">HYPERLINK("https://www.cadence.com/en_US/home/tools/pcb-design-and-analysis/orcad.html","Official site")</f>
        <v>Official site</v>
      </c>
      <c r="K98" s="6" t="str">
        <f aca="false">HYPERLINK("https://www.cadence.com/en_US/home/tools/pcb-design-and-analysis/orcad.html","Evidence / lead")</f>
        <v>Evidence / lead</v>
      </c>
      <c r="L98" s="6" t="str">
        <f aca="false">HYPERLINK("https://www.cadence.com/en_US/home/tools.html","Language source")</f>
        <v>Language source</v>
      </c>
    </row>
    <row r="99" customFormat="false" ht="23.85" hidden="false" customHeight="false" outlineLevel="0" collapsed="false">
      <c r="A99" s="5" t="s">
        <v>337</v>
      </c>
      <c r="B99" s="5" t="s">
        <v>347</v>
      </c>
      <c r="C99" s="5" t="s">
        <v>17</v>
      </c>
      <c r="D99" s="5" t="s">
        <v>348</v>
      </c>
      <c r="E99" s="5" t="s">
        <v>349</v>
      </c>
      <c r="F99" s="5" t="s">
        <v>309</v>
      </c>
      <c r="G99" s="5" t="s">
        <v>310</v>
      </c>
      <c r="H99" s="5" t="s">
        <v>22</v>
      </c>
      <c r="I99" s="5" t="s">
        <v>23</v>
      </c>
      <c r="J99" s="6" t="str">
        <f aca="false">HYPERLINK("https://www.siemens.com/en-gb/products/pcb/xpedition/","Official site")</f>
        <v>Official site</v>
      </c>
      <c r="K99" s="6" t="str">
        <f aca="false">HYPERLINK("https://www.siemens.com/en-gb/products/pcb/xpedition/","Evidence / lead")</f>
        <v>Evidence / lead</v>
      </c>
      <c r="L99" s="6" t="str">
        <f aca="false">HYPERLINK("https://www.cadence.com/en_US/home/tools.html","Language source")</f>
        <v>Language source</v>
      </c>
    </row>
    <row r="100" customFormat="false" ht="23.85" hidden="false" customHeight="false" outlineLevel="0" collapsed="false">
      <c r="A100" s="5" t="s">
        <v>337</v>
      </c>
      <c r="B100" s="5" t="s">
        <v>350</v>
      </c>
      <c r="C100" s="5" t="s">
        <v>17</v>
      </c>
      <c r="D100" s="5" t="s">
        <v>351</v>
      </c>
      <c r="E100" s="5" t="s">
        <v>352</v>
      </c>
      <c r="F100" s="5" t="s">
        <v>309</v>
      </c>
      <c r="G100" s="5" t="s">
        <v>310</v>
      </c>
      <c r="H100" s="5" t="s">
        <v>22</v>
      </c>
      <c r="I100" s="5" t="s">
        <v>23</v>
      </c>
      <c r="J100" s="6" t="str">
        <f aca="false">HYPERLINK("https://www.zuken.com/","Official site")</f>
        <v>Official site</v>
      </c>
      <c r="K100" s="6" t="str">
        <f aca="false">HYPERLINK("https://www.zuken.com/","Evidence / lead")</f>
        <v>Evidence / lead</v>
      </c>
      <c r="L100" s="6" t="str">
        <f aca="false">HYPERLINK("https://www.cadence.com/en_US/home/tools.html","Language source")</f>
        <v>Language source</v>
      </c>
    </row>
    <row r="101" customFormat="false" ht="23.85" hidden="false" customHeight="false" outlineLevel="0" collapsed="false">
      <c r="A101" s="5" t="s">
        <v>337</v>
      </c>
      <c r="B101" s="5" t="s">
        <v>353</v>
      </c>
      <c r="C101" s="5" t="s">
        <v>17</v>
      </c>
      <c r="D101" s="5" t="s">
        <v>354</v>
      </c>
      <c r="E101" s="5" t="s">
        <v>355</v>
      </c>
      <c r="F101" s="5" t="s">
        <v>309</v>
      </c>
      <c r="G101" s="5" t="s">
        <v>310</v>
      </c>
      <c r="H101" s="5" t="s">
        <v>22</v>
      </c>
      <c r="I101" s="5" t="s">
        <v>23</v>
      </c>
      <c r="J101" s="6" t="str">
        <f aca="false">HYPERLINK("https://www.zuken.com/","Official site")</f>
        <v>Official site</v>
      </c>
      <c r="K101" s="6" t="str">
        <f aca="false">HYPERLINK("https://www.zuken.com/","Evidence / lead")</f>
        <v>Evidence / lead</v>
      </c>
      <c r="L101" s="6" t="str">
        <f aca="false">HYPERLINK("https://www.cadence.com/en_US/home/tools.html","Language source")</f>
        <v>Language source</v>
      </c>
    </row>
    <row r="102" customFormat="false" ht="23.85" hidden="false" customHeight="false" outlineLevel="0" collapsed="false">
      <c r="A102" s="5" t="s">
        <v>337</v>
      </c>
      <c r="B102" s="5" t="s">
        <v>356</v>
      </c>
      <c r="C102" s="5" t="s">
        <v>17</v>
      </c>
      <c r="D102" s="5" t="s">
        <v>357</v>
      </c>
      <c r="E102" s="5" t="s">
        <v>358</v>
      </c>
      <c r="F102" s="5" t="s">
        <v>309</v>
      </c>
      <c r="G102" s="5" t="s">
        <v>310</v>
      </c>
      <c r="H102" s="5" t="s">
        <v>22</v>
      </c>
      <c r="I102" s="5" t="s">
        <v>23</v>
      </c>
      <c r="J102" s="6" t="str">
        <f aca="false">HYPERLINK("https://www.autodesk.com/products/fusion-360/overview","Official site")</f>
        <v>Official site</v>
      </c>
      <c r="K102" s="6" t="str">
        <f aca="false">HYPERLINK("https://www.autodesk.com/free-trials","Evidence / lead")</f>
        <v>Evidence / lead</v>
      </c>
      <c r="L102" s="6" t="str">
        <f aca="false">HYPERLINK("https://www.cadence.com/en_US/home/tools.html","Language source")</f>
        <v>Language source</v>
      </c>
    </row>
    <row r="103" customFormat="false" ht="23.85" hidden="false" customHeight="false" outlineLevel="0" collapsed="false">
      <c r="A103" s="5" t="s">
        <v>337</v>
      </c>
      <c r="B103" s="5" t="s">
        <v>359</v>
      </c>
      <c r="C103" s="5" t="s">
        <v>17</v>
      </c>
      <c r="D103" s="5" t="s">
        <v>360</v>
      </c>
      <c r="E103" s="5" t="s">
        <v>361</v>
      </c>
      <c r="F103" s="5" t="s">
        <v>309</v>
      </c>
      <c r="G103" s="5" t="s">
        <v>310</v>
      </c>
      <c r="H103" s="5" t="s">
        <v>22</v>
      </c>
      <c r="I103" s="5" t="s">
        <v>23</v>
      </c>
      <c r="J103" s="6" t="str">
        <f aca="false">HYPERLINK("https://www.labcenter.com/","Official site")</f>
        <v>Official site</v>
      </c>
      <c r="K103" s="6" t="str">
        <f aca="false">HYPERLINK("https://www.labcenter.com/","Evidence / lead")</f>
        <v>Evidence / lead</v>
      </c>
      <c r="L103" s="6" t="str">
        <f aca="false">HYPERLINK("https://www.cadence.com/en_US/home/tools.html","Language source")</f>
        <v>Language source</v>
      </c>
    </row>
    <row r="104" customFormat="false" ht="23.85" hidden="false" customHeight="false" outlineLevel="0" collapsed="false">
      <c r="A104" s="5" t="s">
        <v>337</v>
      </c>
      <c r="B104" s="5" t="s">
        <v>362</v>
      </c>
      <c r="C104" s="5" t="s">
        <v>48</v>
      </c>
      <c r="D104" s="5" t="s">
        <v>363</v>
      </c>
      <c r="E104" s="5" t="s">
        <v>364</v>
      </c>
      <c r="F104" s="5" t="s">
        <v>365</v>
      </c>
      <c r="G104" s="5" t="s">
        <v>366</v>
      </c>
      <c r="H104" s="5" t="s">
        <v>367</v>
      </c>
      <c r="I104" s="5" t="s">
        <v>23</v>
      </c>
      <c r="J104" s="6" t="str">
        <f aca="false">HYPERLINK("https://www.kicad.org/","Official site")</f>
        <v>Official site</v>
      </c>
      <c r="K104" s="6" t="str">
        <f aca="false">HYPERLINK("https://www.kicad.org/libraries/license/","Evidence / lead")</f>
        <v>Evidence / lead</v>
      </c>
      <c r="L104" s="6" t="str">
        <f aca="false">HYPERLINK("https://docs.kicad.org/doxygen/python__manager_8cpp_source.html","Language source")</f>
        <v>Language source</v>
      </c>
    </row>
    <row r="105" customFormat="false" ht="23.85" hidden="false" customHeight="false" outlineLevel="0" collapsed="false">
      <c r="A105" s="5" t="s">
        <v>337</v>
      </c>
      <c r="B105" s="5" t="s">
        <v>368</v>
      </c>
      <c r="C105" s="5" t="s">
        <v>48</v>
      </c>
      <c r="D105" s="5" t="s">
        <v>369</v>
      </c>
      <c r="E105" s="5" t="s">
        <v>370</v>
      </c>
      <c r="F105" s="5" t="s">
        <v>151</v>
      </c>
      <c r="G105" s="5" t="s">
        <v>152</v>
      </c>
      <c r="H105" s="5" t="s">
        <v>153</v>
      </c>
      <c r="I105" s="5" t="s">
        <v>23</v>
      </c>
      <c r="J105" s="6" t="str">
        <f aca="false">HYPERLINK("https://librepcb.org/","Official site")</f>
        <v>Official site</v>
      </c>
      <c r="K105" s="6" t="str">
        <f aca="false">HYPERLINK("https://librepcb.org/","Evidence / lead")</f>
        <v>Evidence / lead</v>
      </c>
      <c r="L105" s="6" t="str">
        <f aca="false">HYPERLINK("https://librepcb.org/","Language source")</f>
        <v>Language source</v>
      </c>
    </row>
    <row r="106" customFormat="false" ht="23.85" hidden="false" customHeight="false" outlineLevel="0" collapsed="false">
      <c r="A106" s="5" t="s">
        <v>371</v>
      </c>
      <c r="B106" s="5" t="s">
        <v>372</v>
      </c>
      <c r="C106" s="5" t="s">
        <v>17</v>
      </c>
      <c r="D106" s="5" t="s">
        <v>373</v>
      </c>
      <c r="E106" s="5" t="s">
        <v>374</v>
      </c>
      <c r="F106" s="5" t="s">
        <v>309</v>
      </c>
      <c r="G106" s="5" t="s">
        <v>310</v>
      </c>
      <c r="H106" s="5" t="s">
        <v>22</v>
      </c>
      <c r="I106" s="5" t="s">
        <v>23</v>
      </c>
      <c r="J106" s="6" t="str">
        <f aca="false">HYPERLINK("https://www.ansys.com/products/electronics/ansys-hfss","Official site")</f>
        <v>Official site</v>
      </c>
      <c r="K106" s="6" t="str">
        <f aca="false">HYPERLINK("https://www.ansys.com/en-gb/products/electronics/ansys-hfss-ic","Evidence / lead")</f>
        <v>Evidence / lead</v>
      </c>
      <c r="L106" s="6" t="str">
        <f aca="false">HYPERLINK("https://www.cadence.com/en_US/home/tools.html","Language source")</f>
        <v>Language source</v>
      </c>
    </row>
    <row r="107" customFormat="false" ht="23.85" hidden="false" customHeight="false" outlineLevel="0" collapsed="false">
      <c r="A107" s="5" t="s">
        <v>371</v>
      </c>
      <c r="B107" s="5" t="s">
        <v>375</v>
      </c>
      <c r="C107" s="5" t="s">
        <v>17</v>
      </c>
      <c r="D107" s="5" t="s">
        <v>376</v>
      </c>
      <c r="E107" s="5" t="s">
        <v>377</v>
      </c>
      <c r="F107" s="5" t="s">
        <v>309</v>
      </c>
      <c r="G107" s="5" t="s">
        <v>310</v>
      </c>
      <c r="H107" s="5" t="s">
        <v>22</v>
      </c>
      <c r="I107" s="5" t="s">
        <v>23</v>
      </c>
      <c r="J107" s="6" t="str">
        <f aca="false">HYPERLINK("https://www.3ds.com/products/simulia/cst-studio-suite","Official site")</f>
        <v>Official site</v>
      </c>
      <c r="K107" s="6" t="str">
        <f aca="false">HYPERLINK("https://www.3ds.com/support/hardware-and-software/simulia-systems-information","Evidence / lead")</f>
        <v>Evidence / lead</v>
      </c>
      <c r="L107" s="6" t="str">
        <f aca="false">HYPERLINK("https://www.cadence.com/en_US/home/tools.html","Language source")</f>
        <v>Language source</v>
      </c>
    </row>
    <row r="108" customFormat="false" ht="23.85" hidden="false" customHeight="false" outlineLevel="0" collapsed="false">
      <c r="A108" s="5" t="s">
        <v>371</v>
      </c>
      <c r="B108" s="5" t="s">
        <v>378</v>
      </c>
      <c r="C108" s="5" t="s">
        <v>17</v>
      </c>
      <c r="D108" s="5" t="s">
        <v>379</v>
      </c>
      <c r="E108" s="5" t="s">
        <v>380</v>
      </c>
      <c r="F108" s="5" t="s">
        <v>309</v>
      </c>
      <c r="G108" s="5" t="s">
        <v>310</v>
      </c>
      <c r="H108" s="5" t="s">
        <v>22</v>
      </c>
      <c r="I108" s="5" t="s">
        <v>37</v>
      </c>
      <c r="J108" s="6" t="str">
        <f aca="false">HYPERLINK("https://altair.com/feko","Official site")</f>
        <v>Official site</v>
      </c>
      <c r="K108" s="6" t="str">
        <f aca="false">HYPERLINK("https://altair.com/feko","Evidence / lead")</f>
        <v>Evidence / lead</v>
      </c>
      <c r="L108" s="6" t="str">
        <f aca="false">HYPERLINK("https://www.cadence.com/en_US/home/tools.html","Language source")</f>
        <v>Language source</v>
      </c>
    </row>
    <row r="109" customFormat="false" ht="23.85" hidden="false" customHeight="false" outlineLevel="0" collapsed="false">
      <c r="A109" s="5" t="s">
        <v>371</v>
      </c>
      <c r="B109" s="5" t="s">
        <v>381</v>
      </c>
      <c r="C109" s="5" t="s">
        <v>17</v>
      </c>
      <c r="D109" s="5" t="s">
        <v>382</v>
      </c>
      <c r="E109" s="5" t="s">
        <v>383</v>
      </c>
      <c r="F109" s="5" t="s">
        <v>309</v>
      </c>
      <c r="G109" s="5" t="s">
        <v>310</v>
      </c>
      <c r="H109" s="5" t="s">
        <v>22</v>
      </c>
      <c r="I109" s="5" t="s">
        <v>23</v>
      </c>
      <c r="J109" s="6" t="str">
        <f aca="false">HYPERLINK("https://www.keysight.com/us/en/products/software/pathwave-design-software/pathwave-advanced-design-system.html","Official site")</f>
        <v>Official site</v>
      </c>
      <c r="K109" s="6" t="str">
        <f aca="false">HYPERLINK("https://www.keysight.com/us/en/products/software/pathwave-design-software/pathwave-advanced-design-system.html","Evidence / lead")</f>
        <v>Evidence / lead</v>
      </c>
      <c r="L109" s="6" t="str">
        <f aca="false">HYPERLINK("https://www.cadence.com/en_US/home/tools.html","Language source")</f>
        <v>Language source</v>
      </c>
    </row>
    <row r="110" customFormat="false" ht="23.85" hidden="false" customHeight="false" outlineLevel="0" collapsed="false">
      <c r="A110" s="5" t="s">
        <v>371</v>
      </c>
      <c r="B110" s="5" t="s">
        <v>384</v>
      </c>
      <c r="C110" s="5" t="s">
        <v>17</v>
      </c>
      <c r="D110" s="5" t="s">
        <v>385</v>
      </c>
      <c r="E110" s="5" t="s">
        <v>386</v>
      </c>
      <c r="F110" s="5" t="s">
        <v>309</v>
      </c>
      <c r="G110" s="5" t="s">
        <v>310</v>
      </c>
      <c r="H110" s="5" t="s">
        <v>22</v>
      </c>
      <c r="I110" s="5" t="s">
        <v>23</v>
      </c>
      <c r="J110" s="6" t="str">
        <f aca="false">HYPERLINK("https://www.keysight.com/","Official site")</f>
        <v>Official site</v>
      </c>
      <c r="K110" s="6" t="str">
        <f aca="false">HYPERLINK("https://www.keysight.com/ca/en/assets/7018-02343/brochures/5990-4819.pdf","Evidence / lead")</f>
        <v>Evidence / lead</v>
      </c>
      <c r="L110" s="6" t="str">
        <f aca="false">HYPERLINK("https://www.cadence.com/en_US/home/tools.html","Language source")</f>
        <v>Language source</v>
      </c>
    </row>
    <row r="111" customFormat="false" ht="23.85" hidden="false" customHeight="false" outlineLevel="0" collapsed="false">
      <c r="A111" s="5" t="s">
        <v>371</v>
      </c>
      <c r="B111" s="5" t="s">
        <v>387</v>
      </c>
      <c r="C111" s="5" t="s">
        <v>17</v>
      </c>
      <c r="D111" s="5" t="s">
        <v>388</v>
      </c>
      <c r="E111" s="5" t="s">
        <v>389</v>
      </c>
      <c r="F111" s="5" t="s">
        <v>309</v>
      </c>
      <c r="G111" s="5" t="s">
        <v>310</v>
      </c>
      <c r="H111" s="5" t="s">
        <v>22</v>
      </c>
      <c r="I111" s="5" t="s">
        <v>23</v>
      </c>
      <c r="J111" s="6" t="str">
        <f aca="false">HYPERLINK("https://www.cadence.com/","Official site")</f>
        <v>Official site</v>
      </c>
      <c r="K111" s="6" t="str">
        <f aca="false">HYPERLINK("https://www.cadence.com/Products_Nominal-Circuit-Analysis","Evidence / lead")</f>
        <v>Evidence / lead</v>
      </c>
      <c r="L111" s="6" t="str">
        <f aca="false">HYPERLINK("https://www.cadence.com/en_US/home/tools.html","Language source")</f>
        <v>Language source</v>
      </c>
    </row>
    <row r="112" customFormat="false" ht="23.85" hidden="false" customHeight="false" outlineLevel="0" collapsed="false">
      <c r="A112" s="5" t="s">
        <v>371</v>
      </c>
      <c r="B112" s="5" t="s">
        <v>390</v>
      </c>
      <c r="C112" s="5" t="s">
        <v>17</v>
      </c>
      <c r="D112" s="5" t="s">
        <v>391</v>
      </c>
      <c r="E112" s="5" t="s">
        <v>392</v>
      </c>
      <c r="F112" s="5" t="s">
        <v>309</v>
      </c>
      <c r="G112" s="5" t="s">
        <v>310</v>
      </c>
      <c r="H112" s="5" t="s">
        <v>22</v>
      </c>
      <c r="I112" s="5" t="s">
        <v>23</v>
      </c>
      <c r="J112" s="6" t="str">
        <f aca="false">HYPERLINK("https://www.comsol.com/products","Official site")</f>
        <v>Official site</v>
      </c>
      <c r="K112" s="6" t="str">
        <f aca="false">HYPERLINK("https://www.comsol.com/products","Evidence / lead")</f>
        <v>Evidence / lead</v>
      </c>
      <c r="L112" s="6" t="str">
        <f aca="false">HYPERLINK("https://www.cadence.com/en_US/home/tools.html","Language source")</f>
        <v>Language source</v>
      </c>
    </row>
    <row r="113" customFormat="false" ht="23.85" hidden="false" customHeight="false" outlineLevel="0" collapsed="false">
      <c r="A113" s="5" t="s">
        <v>371</v>
      </c>
      <c r="B113" s="5" t="s">
        <v>393</v>
      </c>
      <c r="C113" s="5" t="s">
        <v>17</v>
      </c>
      <c r="D113" s="5" t="s">
        <v>394</v>
      </c>
      <c r="E113" s="5" t="s">
        <v>395</v>
      </c>
      <c r="F113" s="5" t="s">
        <v>309</v>
      </c>
      <c r="G113" s="5" t="s">
        <v>310</v>
      </c>
      <c r="H113" s="5" t="s">
        <v>22</v>
      </c>
      <c r="I113" s="5" t="s">
        <v>23</v>
      </c>
      <c r="J113" s="6" t="str">
        <f aca="false">HYPERLINK("https://www.sonnetsoftware.com/","Official site")</f>
        <v>Official site</v>
      </c>
      <c r="K113" s="6" t="str">
        <f aca="false">HYPERLINK("https://www.sonnetsoftware.com/","Evidence / lead")</f>
        <v>Evidence / lead</v>
      </c>
      <c r="L113" s="6" t="str">
        <f aca="false">HYPERLINK("https://www.cadence.com/en_US/home/tools.html","Language source")</f>
        <v>Language source</v>
      </c>
    </row>
    <row r="114" customFormat="false" ht="23.85" hidden="false" customHeight="false" outlineLevel="0" collapsed="false">
      <c r="A114" s="5" t="s">
        <v>371</v>
      </c>
      <c r="B114" s="5" t="s">
        <v>396</v>
      </c>
      <c r="C114" s="5" t="s">
        <v>17</v>
      </c>
      <c r="D114" s="5" t="s">
        <v>397</v>
      </c>
      <c r="E114" s="5" t="s">
        <v>398</v>
      </c>
      <c r="F114" s="5" t="s">
        <v>309</v>
      </c>
      <c r="G114" s="5" t="s">
        <v>310</v>
      </c>
      <c r="H114" s="5" t="s">
        <v>22</v>
      </c>
      <c r="I114" s="5" t="s">
        <v>23</v>
      </c>
      <c r="J114" s="6" t="str">
        <f aca="false">HYPERLINK("https://www.remcom.com/","Official site")</f>
        <v>Official site</v>
      </c>
      <c r="K114" s="6" t="str">
        <f aca="false">HYPERLINK("https://www.remcom.com/","Evidence / lead")</f>
        <v>Evidence / lead</v>
      </c>
      <c r="L114" s="6" t="str">
        <f aca="false">HYPERLINK("https://www.cadence.com/en_US/home/tools.html","Language source")</f>
        <v>Language source</v>
      </c>
    </row>
    <row r="115" customFormat="false" ht="23.85" hidden="false" customHeight="false" outlineLevel="0" collapsed="false">
      <c r="A115" s="5" t="s">
        <v>371</v>
      </c>
      <c r="B115" s="5" t="s">
        <v>399</v>
      </c>
      <c r="C115" s="5" t="s">
        <v>48</v>
      </c>
      <c r="D115" s="5" t="s">
        <v>400</v>
      </c>
      <c r="E115" s="5" t="s">
        <v>401</v>
      </c>
      <c r="F115" s="5" t="s">
        <v>151</v>
      </c>
      <c r="G115" s="5" t="s">
        <v>152</v>
      </c>
      <c r="H115" s="5" t="s">
        <v>153</v>
      </c>
      <c r="I115" s="5" t="s">
        <v>23</v>
      </c>
      <c r="J115" s="6" t="str">
        <f aca="false">HYPERLINK("https://www.openems.de/","Official site")</f>
        <v>Official site</v>
      </c>
      <c r="K115" s="6" t="str">
        <f aca="false">HYPERLINK("https://www.openems.de/","Evidence / lead")</f>
        <v>Evidence / lead</v>
      </c>
      <c r="L115" s="6" t="str">
        <f aca="false">HYPERLINK("https://www.openems.de/","Language source")</f>
        <v>Language source</v>
      </c>
    </row>
    <row r="116" customFormat="false" ht="23.85" hidden="false" customHeight="false" outlineLevel="0" collapsed="false">
      <c r="A116" s="5" t="s">
        <v>402</v>
      </c>
      <c r="B116" s="5" t="s">
        <v>403</v>
      </c>
      <c r="C116" s="5" t="s">
        <v>17</v>
      </c>
      <c r="D116" s="5" t="s">
        <v>404</v>
      </c>
      <c r="E116" s="5" t="s">
        <v>405</v>
      </c>
      <c r="F116" s="5" t="s">
        <v>110</v>
      </c>
      <c r="G116" s="5" t="s">
        <v>111</v>
      </c>
      <c r="H116" s="5" t="s">
        <v>112</v>
      </c>
      <c r="I116" s="5" t="s">
        <v>23</v>
      </c>
      <c r="J116" s="6" t="str">
        <f aca="false">HYPERLINK("https://www.mathworks.com/products/signal.html","Official site")</f>
        <v>Official site</v>
      </c>
      <c r="K116" s="6" t="str">
        <f aca="false">HYPERLINK("https://www.mathworks.com/company/technical-articles/a-brief-history-of-matlab.html","Evidence / lead")</f>
        <v>Evidence / lead</v>
      </c>
      <c r="L116" s="6" t="str">
        <f aca="false">HYPERLINK("https://www.mathworks.com/company/technical-articles/a-brief-history-of-matlab.html","Language source")</f>
        <v>Language source</v>
      </c>
    </row>
    <row r="117" customFormat="false" ht="23.85" hidden="false" customHeight="false" outlineLevel="0" collapsed="false">
      <c r="A117" s="5" t="s">
        <v>402</v>
      </c>
      <c r="B117" s="5" t="s">
        <v>406</v>
      </c>
      <c r="C117" s="5" t="s">
        <v>17</v>
      </c>
      <c r="D117" s="5" t="s">
        <v>407</v>
      </c>
      <c r="E117" s="5" t="s">
        <v>408</v>
      </c>
      <c r="F117" s="5" t="s">
        <v>110</v>
      </c>
      <c r="G117" s="5" t="s">
        <v>111</v>
      </c>
      <c r="H117" s="5" t="s">
        <v>112</v>
      </c>
      <c r="I117" s="5" t="s">
        <v>23</v>
      </c>
      <c r="J117" s="6" t="str">
        <f aca="false">HYPERLINK("https://www.mathworks.com/products/communications.html","Official site")</f>
        <v>Official site</v>
      </c>
      <c r="K117" s="6" t="str">
        <f aca="false">HYPERLINK("https://www.mathworks.com/company/technical-articles/a-brief-history-of-matlab.html","Evidence / lead")</f>
        <v>Evidence / lead</v>
      </c>
      <c r="L117" s="6" t="str">
        <f aca="false">HYPERLINK("https://www.mathworks.com/company/technical-articles/a-brief-history-of-matlab.html","Language source")</f>
        <v>Language source</v>
      </c>
    </row>
    <row r="118" customFormat="false" ht="23.85" hidden="false" customHeight="false" outlineLevel="0" collapsed="false">
      <c r="A118" s="5" t="s">
        <v>402</v>
      </c>
      <c r="B118" s="5" t="s">
        <v>409</v>
      </c>
      <c r="C118" s="5" t="s">
        <v>17</v>
      </c>
      <c r="D118" s="5" t="s">
        <v>410</v>
      </c>
      <c r="E118" s="5" t="s">
        <v>411</v>
      </c>
      <c r="F118" s="5" t="s">
        <v>110</v>
      </c>
      <c r="G118" s="5" t="s">
        <v>111</v>
      </c>
      <c r="H118" s="5" t="s">
        <v>112</v>
      </c>
      <c r="I118" s="5" t="s">
        <v>23</v>
      </c>
      <c r="J118" s="6" t="str">
        <f aca="false">HYPERLINK("https://www.mathworks.com/products/dsp-system.html","Official site")</f>
        <v>Official site</v>
      </c>
      <c r="K118" s="6" t="str">
        <f aca="false">HYPERLINK("https://www.mathworks.com/company/technical-articles/a-brief-history-of-matlab.html","Evidence / lead")</f>
        <v>Evidence / lead</v>
      </c>
      <c r="L118" s="6" t="str">
        <f aca="false">HYPERLINK("https://www.mathworks.com/company/technical-articles/a-brief-history-of-matlab.html","Language source")</f>
        <v>Language source</v>
      </c>
    </row>
    <row r="119" customFormat="false" ht="23.85" hidden="false" customHeight="false" outlineLevel="0" collapsed="false">
      <c r="A119" s="5" t="s">
        <v>402</v>
      </c>
      <c r="B119" s="5" t="s">
        <v>412</v>
      </c>
      <c r="C119" s="5" t="s">
        <v>17</v>
      </c>
      <c r="D119" s="5" t="s">
        <v>413</v>
      </c>
      <c r="E119" s="5" t="s">
        <v>414</v>
      </c>
      <c r="F119" s="5" t="s">
        <v>20</v>
      </c>
      <c r="G119" s="5" t="s">
        <v>21</v>
      </c>
      <c r="H119" s="5" t="s">
        <v>22</v>
      </c>
      <c r="I119" s="5" t="s">
        <v>23</v>
      </c>
      <c r="J119" s="6" t="str">
        <f aca="false">HYPERLINK("https://www.keysight.com/","Official site")</f>
        <v>Official site</v>
      </c>
      <c r="K119" s="6" t="str">
        <f aca="false">HYPERLINK("https://www.keysight.com/us/en/lib/software-detail/computer-software/pathwave-system-design-systemvue-software-2217697/systemvue-2023-windows.html","Evidence / lead")</f>
        <v>Evidence / lead</v>
      </c>
      <c r="L119" s="6" t="str">
        <f aca="false">HYPERLINK("https://www.ansys.com/products","Language source")</f>
        <v>Language source</v>
      </c>
    </row>
    <row r="120" customFormat="false" ht="23.85" hidden="false" customHeight="false" outlineLevel="0" collapsed="false">
      <c r="A120" s="5" t="s">
        <v>402</v>
      </c>
      <c r="B120" s="5" t="s">
        <v>136</v>
      </c>
      <c r="C120" s="5" t="s">
        <v>17</v>
      </c>
      <c r="D120" s="5" t="s">
        <v>415</v>
      </c>
      <c r="E120" s="5" t="s">
        <v>416</v>
      </c>
      <c r="F120" s="5" t="s">
        <v>20</v>
      </c>
      <c r="G120" s="5" t="s">
        <v>21</v>
      </c>
      <c r="H120" s="5" t="s">
        <v>22</v>
      </c>
      <c r="I120" s="5" t="s">
        <v>23</v>
      </c>
      <c r="J120" s="6" t="str">
        <f aca="false">HYPERLINK("https://www.ni.com/en/shop/labview.html","Official site")</f>
        <v>Official site</v>
      </c>
      <c r="K120" s="6" t="str">
        <f aca="false">HYPERLINK("https://www.ni.com/en/support/documentation/supplemental/10/ni-labview-compiler--under-the-hood.html","Evidence / lead")</f>
        <v>Evidence / lead</v>
      </c>
      <c r="L120" s="6" t="str">
        <f aca="false">HYPERLINK("https://www.ansys.com/products","Language source")</f>
        <v>Language source</v>
      </c>
    </row>
    <row r="121" customFormat="false" ht="23.85" hidden="false" customHeight="false" outlineLevel="0" collapsed="false">
      <c r="A121" s="5" t="s">
        <v>402</v>
      </c>
      <c r="B121" s="5" t="s">
        <v>417</v>
      </c>
      <c r="C121" s="5" t="s">
        <v>48</v>
      </c>
      <c r="D121" s="5" t="s">
        <v>418</v>
      </c>
      <c r="E121" s="5" t="s">
        <v>419</v>
      </c>
      <c r="F121" s="5" t="s">
        <v>151</v>
      </c>
      <c r="G121" s="5" t="s">
        <v>152</v>
      </c>
      <c r="H121" s="5" t="s">
        <v>153</v>
      </c>
      <c r="I121" s="5" t="s">
        <v>23</v>
      </c>
      <c r="J121" s="6" t="str">
        <f aca="false">HYPERLINK("https://www.gnuradio.org/","Official site")</f>
        <v>Official site</v>
      </c>
      <c r="K121" s="6" t="str">
        <f aca="false">HYPERLINK("https://www.gnuradio.org/","Evidence / lead")</f>
        <v>Evidence / lead</v>
      </c>
      <c r="L121" s="6" t="str">
        <f aca="false">HYPERLINK("https://www.gnuradio.org/","Language source")</f>
        <v>Language source</v>
      </c>
    </row>
    <row r="122" customFormat="false" ht="23.85" hidden="false" customHeight="false" outlineLevel="0" collapsed="false">
      <c r="A122" s="5" t="s">
        <v>402</v>
      </c>
      <c r="B122" s="5" t="s">
        <v>420</v>
      </c>
      <c r="C122" s="5" t="s">
        <v>48</v>
      </c>
      <c r="D122" s="5" t="s">
        <v>421</v>
      </c>
      <c r="E122" s="5" t="s">
        <v>422</v>
      </c>
      <c r="F122" s="5" t="s">
        <v>151</v>
      </c>
      <c r="G122" s="5" t="s">
        <v>152</v>
      </c>
      <c r="H122" s="5" t="s">
        <v>153</v>
      </c>
      <c r="I122" s="5" t="s">
        <v>23</v>
      </c>
      <c r="J122" s="6" t="str">
        <f aca="false">HYPERLINK("https://www.scilab.org/","Official site")</f>
        <v>Official site</v>
      </c>
      <c r="K122" s="6" t="str">
        <f aca="false">HYPERLINK("https://www.scilab.org/","Evidence / lead")</f>
        <v>Evidence / lead</v>
      </c>
      <c r="L122" s="6" t="str">
        <f aca="false">HYPERLINK("https://www.scilab.org/","Language source")</f>
        <v>Language source</v>
      </c>
    </row>
    <row r="123" customFormat="false" ht="23.85" hidden="false" customHeight="false" outlineLevel="0" collapsed="false">
      <c r="A123" s="5" t="s">
        <v>402</v>
      </c>
      <c r="B123" s="5" t="s">
        <v>423</v>
      </c>
      <c r="C123" s="5" t="s">
        <v>48</v>
      </c>
      <c r="D123" s="5" t="s">
        <v>424</v>
      </c>
      <c r="E123" s="5" t="s">
        <v>425</v>
      </c>
      <c r="F123" s="5" t="s">
        <v>166</v>
      </c>
      <c r="G123" s="5" t="s">
        <v>167</v>
      </c>
      <c r="H123" s="5" t="s">
        <v>168</v>
      </c>
      <c r="I123" s="5" t="s">
        <v>23</v>
      </c>
      <c r="J123" s="6" t="str">
        <f aca="false">HYPERLINK("https://octave.org/","Official site")</f>
        <v>Official site</v>
      </c>
      <c r="K123" s="6" t="str">
        <f aca="false">HYPERLINK("https://octave.org/","Evidence / lead")</f>
        <v>Evidence / lead</v>
      </c>
      <c r="L123" s="6" t="str">
        <f aca="false">HYPERLINK("https://octave.org/about","Language source")</f>
        <v>Language source</v>
      </c>
    </row>
    <row r="124" customFormat="false" ht="23.85" hidden="false" customHeight="false" outlineLevel="0" collapsed="false">
      <c r="A124" s="5" t="s">
        <v>402</v>
      </c>
      <c r="B124" s="5" t="s">
        <v>426</v>
      </c>
      <c r="C124" s="5" t="s">
        <v>48</v>
      </c>
      <c r="D124" s="5" t="s">
        <v>427</v>
      </c>
      <c r="E124" s="5" t="s">
        <v>428</v>
      </c>
      <c r="F124" s="5" t="s">
        <v>151</v>
      </c>
      <c r="G124" s="5" t="s">
        <v>152</v>
      </c>
      <c r="H124" s="5" t="s">
        <v>153</v>
      </c>
      <c r="I124" s="5" t="s">
        <v>23</v>
      </c>
      <c r="J124" s="6" t="str">
        <f aca="false">HYPERLINK("https://docs.scipy.org/doc/scipy/reference/signal.html","Official site")</f>
        <v>Official site</v>
      </c>
      <c r="K124" s="6" t="str">
        <f aca="false">HYPERLINK("https://docs.scipy.org/doc/scipy/reference/signal.html","Evidence / lead")</f>
        <v>Evidence / lead</v>
      </c>
      <c r="L124" s="6" t="str">
        <f aca="false">HYPERLINK("https://docs.scipy.org/doc/scipy/reference/signal.html","Language source")</f>
        <v>Language source</v>
      </c>
    </row>
    <row r="125" customFormat="false" ht="23.85" hidden="false" customHeight="false" outlineLevel="0" collapsed="false">
      <c r="A125" s="5" t="s">
        <v>402</v>
      </c>
      <c r="B125" s="5" t="s">
        <v>429</v>
      </c>
      <c r="C125" s="5" t="s">
        <v>48</v>
      </c>
      <c r="D125" s="5" t="s">
        <v>430</v>
      </c>
      <c r="E125" s="5" t="s">
        <v>431</v>
      </c>
      <c r="F125" s="5" t="s">
        <v>151</v>
      </c>
      <c r="G125" s="5" t="s">
        <v>152</v>
      </c>
      <c r="H125" s="5" t="s">
        <v>153</v>
      </c>
      <c r="I125" s="5" t="s">
        <v>37</v>
      </c>
      <c r="J125" s="6" t="str">
        <f aca="false">HYPERLINK("https://github.com/JuliaDSP/DSP.jl","Official site")</f>
        <v>Official site</v>
      </c>
      <c r="K125" s="6" t="str">
        <f aca="false">HYPERLINK("https://github.com/JuliaDSP/DSP.jl","Evidence / lead")</f>
        <v>Evidence / lead</v>
      </c>
      <c r="L125" s="6" t="str">
        <f aca="false">HYPERLINK("https://github.com/JuliaDSP/DSP.jl","Language source")</f>
        <v>Language source</v>
      </c>
    </row>
    <row r="126" customFormat="false" ht="23.85" hidden="false" customHeight="false" outlineLevel="0" collapsed="false">
      <c r="A126" s="5" t="s">
        <v>432</v>
      </c>
      <c r="B126" s="5" t="s">
        <v>433</v>
      </c>
      <c r="C126" s="5" t="s">
        <v>17</v>
      </c>
      <c r="D126" s="5" t="s">
        <v>434</v>
      </c>
      <c r="E126" s="5" t="s">
        <v>435</v>
      </c>
      <c r="F126" s="5" t="s">
        <v>211</v>
      </c>
      <c r="G126" s="5" t="s">
        <v>212</v>
      </c>
      <c r="H126" s="5" t="s">
        <v>22</v>
      </c>
      <c r="I126" s="5" t="s">
        <v>30</v>
      </c>
      <c r="J126" s="6" t="str">
        <f aca="false">HYPERLINK("https://www.keil.com/","Official site")</f>
        <v>Official site</v>
      </c>
      <c r="K126" s="6" t="str">
        <f aca="false">HYPERLINK("https://www.keil.com/","Evidence / lead")</f>
        <v>Evidence / lead</v>
      </c>
      <c r="L126" s="6" t="str">
        <f aca="false">HYPERLINK("https://www.keil.com/","Language source")</f>
        <v>Language source</v>
      </c>
    </row>
    <row r="127" customFormat="false" ht="23.85" hidden="false" customHeight="false" outlineLevel="0" collapsed="false">
      <c r="A127" s="5" t="s">
        <v>432</v>
      </c>
      <c r="B127" s="5" t="s">
        <v>436</v>
      </c>
      <c r="C127" s="5" t="s">
        <v>17</v>
      </c>
      <c r="D127" s="5" t="s">
        <v>437</v>
      </c>
      <c r="E127" s="5" t="s">
        <v>438</v>
      </c>
      <c r="F127" s="5" t="s">
        <v>211</v>
      </c>
      <c r="G127" s="5" t="s">
        <v>212</v>
      </c>
      <c r="H127" s="5" t="s">
        <v>22</v>
      </c>
      <c r="I127" s="5" t="s">
        <v>23</v>
      </c>
      <c r="J127" s="6" t="str">
        <f aca="false">HYPERLINK("https://www.iar.com/","Official site")</f>
        <v>Official site</v>
      </c>
      <c r="K127" s="6" t="str">
        <f aca="false">HYPERLINK("https://www.iar.com/","Evidence / lead")</f>
        <v>Evidence / lead</v>
      </c>
      <c r="L127" s="6" t="str">
        <f aca="false">HYPERLINK("https://www.iar.com/","Language source")</f>
        <v>Language source</v>
      </c>
    </row>
    <row r="128" customFormat="false" ht="23.85" hidden="false" customHeight="false" outlineLevel="0" collapsed="false">
      <c r="A128" s="5" t="s">
        <v>432</v>
      </c>
      <c r="B128" s="5" t="s">
        <v>439</v>
      </c>
      <c r="C128" s="5" t="s">
        <v>17</v>
      </c>
      <c r="D128" s="5" t="s">
        <v>440</v>
      </c>
      <c r="E128" s="5" t="s">
        <v>441</v>
      </c>
      <c r="F128" s="5" t="s">
        <v>211</v>
      </c>
      <c r="G128" s="5" t="s">
        <v>212</v>
      </c>
      <c r="H128" s="5" t="s">
        <v>22</v>
      </c>
      <c r="I128" s="5" t="s">
        <v>23</v>
      </c>
      <c r="J128" s="6" t="str">
        <f aca="false">HYPERLINK("https://www.tasking.com/","Official site")</f>
        <v>Official site</v>
      </c>
      <c r="K128" s="6" t="str">
        <f aca="false">HYPERLINK("https://www.tasking.com/","Evidence / lead")</f>
        <v>Evidence / lead</v>
      </c>
      <c r="L128" s="6" t="str">
        <f aca="false">HYPERLINK("https://www.tasking.com/","Language source")</f>
        <v>Language source</v>
      </c>
    </row>
    <row r="129" customFormat="false" ht="23.85" hidden="false" customHeight="false" outlineLevel="0" collapsed="false">
      <c r="A129" s="5" t="s">
        <v>432</v>
      </c>
      <c r="B129" s="5" t="s">
        <v>442</v>
      </c>
      <c r="C129" s="5" t="s">
        <v>297</v>
      </c>
      <c r="D129" s="5" t="s">
        <v>443</v>
      </c>
      <c r="E129" s="5" t="s">
        <v>444</v>
      </c>
      <c r="F129" s="5" t="s">
        <v>211</v>
      </c>
      <c r="G129" s="5" t="s">
        <v>212</v>
      </c>
      <c r="H129" s="5" t="s">
        <v>22</v>
      </c>
      <c r="I129" s="5" t="s">
        <v>23</v>
      </c>
      <c r="J129" s="6" t="str">
        <f aca="false">HYPERLINK("https://www.segger.com/","Official site")</f>
        <v>Official site</v>
      </c>
      <c r="K129" s="6" t="str">
        <f aca="false">HYPERLINK("https://www.segger.com/","Evidence / lead")</f>
        <v>Evidence / lead</v>
      </c>
      <c r="L129" s="6" t="str">
        <f aca="false">HYPERLINK("https://www.segger.com/","Language source")</f>
        <v>Language source</v>
      </c>
    </row>
    <row r="130" customFormat="false" ht="23.85" hidden="false" customHeight="false" outlineLevel="0" collapsed="false">
      <c r="A130" s="5" t="s">
        <v>432</v>
      </c>
      <c r="B130" s="5" t="s">
        <v>445</v>
      </c>
      <c r="C130" s="5" t="s">
        <v>117</v>
      </c>
      <c r="D130" s="5" t="s">
        <v>446</v>
      </c>
      <c r="E130" s="5" t="s">
        <v>447</v>
      </c>
      <c r="F130" s="5" t="s">
        <v>211</v>
      </c>
      <c r="G130" s="5" t="s">
        <v>212</v>
      </c>
      <c r="H130" s="5" t="s">
        <v>22</v>
      </c>
      <c r="I130" s="5" t="s">
        <v>23</v>
      </c>
      <c r="J130" s="6" t="str">
        <f aca="false">HYPERLINK("https://www.st.com/","Official site")</f>
        <v>Official site</v>
      </c>
      <c r="K130" s="6" t="str">
        <f aca="false">HYPERLINK("https://www.st.com/","Evidence / lead")</f>
        <v>Evidence / lead</v>
      </c>
      <c r="L130" s="6" t="str">
        <f aca="false">HYPERLINK("https://www.st.com/","Language source")</f>
        <v>Language source</v>
      </c>
    </row>
    <row r="131" customFormat="false" ht="23.85" hidden="false" customHeight="false" outlineLevel="0" collapsed="false">
      <c r="A131" s="5" t="s">
        <v>432</v>
      </c>
      <c r="B131" s="5" t="s">
        <v>448</v>
      </c>
      <c r="C131" s="5" t="s">
        <v>117</v>
      </c>
      <c r="D131" s="5" t="s">
        <v>449</v>
      </c>
      <c r="E131" s="5" t="s">
        <v>450</v>
      </c>
      <c r="F131" s="5" t="s">
        <v>211</v>
      </c>
      <c r="G131" s="5" t="s">
        <v>212</v>
      </c>
      <c r="H131" s="5" t="s">
        <v>22</v>
      </c>
      <c r="I131" s="5" t="s">
        <v>30</v>
      </c>
      <c r="J131" s="6" t="str">
        <f aca="false">HYPERLINK("https://www.microchip.com/","Official site")</f>
        <v>Official site</v>
      </c>
      <c r="K131" s="6" t="str">
        <f aca="false">HYPERLINK("https://www.microchip.com/","Evidence / lead")</f>
        <v>Evidence / lead</v>
      </c>
      <c r="L131" s="6" t="str">
        <f aca="false">HYPERLINK("https://www.microchip.com/","Language source")</f>
        <v>Language source</v>
      </c>
    </row>
    <row r="132" customFormat="false" ht="23.85" hidden="false" customHeight="false" outlineLevel="0" collapsed="false">
      <c r="A132" s="5" t="s">
        <v>432</v>
      </c>
      <c r="B132" s="5" t="s">
        <v>451</v>
      </c>
      <c r="C132" s="5" t="s">
        <v>117</v>
      </c>
      <c r="D132" s="5" t="s">
        <v>452</v>
      </c>
      <c r="E132" s="5" t="s">
        <v>453</v>
      </c>
      <c r="F132" s="5" t="s">
        <v>211</v>
      </c>
      <c r="G132" s="5" t="s">
        <v>212</v>
      </c>
      <c r="H132" s="5" t="s">
        <v>22</v>
      </c>
      <c r="I132" s="5" t="s">
        <v>30</v>
      </c>
      <c r="J132" s="6" t="str">
        <f aca="false">HYPERLINK("https://www.ti.com/","Official site")</f>
        <v>Official site</v>
      </c>
      <c r="K132" s="6" t="str">
        <f aca="false">HYPERLINK("https://www.ti.com/","Evidence / lead")</f>
        <v>Evidence / lead</v>
      </c>
      <c r="L132" s="6" t="str">
        <f aca="false">HYPERLINK("https://www.ti.com/","Language source")</f>
        <v>Language source</v>
      </c>
    </row>
    <row r="133" customFormat="false" ht="23.85" hidden="false" customHeight="false" outlineLevel="0" collapsed="false">
      <c r="A133" s="5" t="s">
        <v>432</v>
      </c>
      <c r="B133" s="5" t="s">
        <v>454</v>
      </c>
      <c r="C133" s="5" t="s">
        <v>117</v>
      </c>
      <c r="D133" s="5" t="s">
        <v>455</v>
      </c>
      <c r="E133" s="5" t="s">
        <v>456</v>
      </c>
      <c r="F133" s="5" t="s">
        <v>211</v>
      </c>
      <c r="G133" s="5" t="s">
        <v>212</v>
      </c>
      <c r="H133" s="5" t="s">
        <v>22</v>
      </c>
      <c r="I133" s="5" t="s">
        <v>30</v>
      </c>
      <c r="J133" s="6" t="str">
        <f aca="false">HYPERLINK("https://www.nxp.com/","Official site")</f>
        <v>Official site</v>
      </c>
      <c r="K133" s="6" t="str">
        <f aca="false">HYPERLINK("https://www.nxp.com/","Evidence / lead")</f>
        <v>Evidence / lead</v>
      </c>
      <c r="L133" s="6" t="str">
        <f aca="false">HYPERLINK("https://www.nxp.com/","Language source")</f>
        <v>Language source</v>
      </c>
    </row>
    <row r="134" customFormat="false" ht="23.85" hidden="false" customHeight="false" outlineLevel="0" collapsed="false">
      <c r="A134" s="5" t="s">
        <v>432</v>
      </c>
      <c r="B134" s="5" t="s">
        <v>457</v>
      </c>
      <c r="C134" s="5" t="s">
        <v>48</v>
      </c>
      <c r="D134" s="5" t="s">
        <v>458</v>
      </c>
      <c r="E134" s="5" t="s">
        <v>459</v>
      </c>
      <c r="F134" s="5" t="s">
        <v>151</v>
      </c>
      <c r="G134" s="5" t="s">
        <v>152</v>
      </c>
      <c r="H134" s="5" t="s">
        <v>153</v>
      </c>
      <c r="I134" s="5" t="s">
        <v>23</v>
      </c>
      <c r="J134" s="6" t="str">
        <f aca="false">HYPERLINK("https://platformio.org/","Official site")</f>
        <v>Official site</v>
      </c>
      <c r="K134" s="6" t="str">
        <f aca="false">HYPERLINK("https://platformio.org/","Evidence / lead")</f>
        <v>Evidence / lead</v>
      </c>
      <c r="L134" s="6" t="str">
        <f aca="false">HYPERLINK("https://platformio.org/","Language source")</f>
        <v>Language source</v>
      </c>
    </row>
    <row r="135" customFormat="false" ht="23.85" hidden="false" customHeight="false" outlineLevel="0" collapsed="false">
      <c r="A135" s="5" t="s">
        <v>432</v>
      </c>
      <c r="B135" s="5" t="s">
        <v>460</v>
      </c>
      <c r="C135" s="5" t="s">
        <v>48</v>
      </c>
      <c r="D135" s="5" t="s">
        <v>461</v>
      </c>
      <c r="E135" s="5" t="s">
        <v>462</v>
      </c>
      <c r="F135" s="5" t="s">
        <v>151</v>
      </c>
      <c r="G135" s="5" t="s">
        <v>152</v>
      </c>
      <c r="H135" s="5" t="s">
        <v>153</v>
      </c>
      <c r="I135" s="5" t="s">
        <v>23</v>
      </c>
      <c r="J135" s="6" t="str">
        <f aca="false">HYPERLINK("https://renode.io/","Official site")</f>
        <v>Official site</v>
      </c>
      <c r="K135" s="6" t="str">
        <f aca="false">HYPERLINK("https://renode.io/","Evidence / lead")</f>
        <v>Evidence / lead</v>
      </c>
      <c r="L135" s="6" t="str">
        <f aca="false">HYPERLINK("https://renode.io/","Language source")</f>
        <v>Language source</v>
      </c>
    </row>
    <row r="136" customFormat="false" ht="23.85" hidden="false" customHeight="false" outlineLevel="0" collapsed="false">
      <c r="A136" s="5" t="s">
        <v>463</v>
      </c>
      <c r="B136" s="5" t="s">
        <v>464</v>
      </c>
      <c r="C136" s="5" t="s">
        <v>297</v>
      </c>
      <c r="D136" s="5" t="s">
        <v>465</v>
      </c>
      <c r="E136" s="5" t="s">
        <v>466</v>
      </c>
      <c r="F136" s="5" t="s">
        <v>309</v>
      </c>
      <c r="G136" s="5" t="s">
        <v>310</v>
      </c>
      <c r="H136" s="5" t="s">
        <v>22</v>
      </c>
      <c r="I136" s="5" t="s">
        <v>30</v>
      </c>
      <c r="J136" s="6" t="str">
        <f aca="false">HYPERLINK("https://www.amd.com/","Official site")</f>
        <v>Official site</v>
      </c>
      <c r="K136" s="6" t="str">
        <f aca="false">HYPERLINK("https://www.amd.com/","Evidence / lead")</f>
        <v>Evidence / lead</v>
      </c>
      <c r="L136" s="6" t="str">
        <f aca="false">HYPERLINK("https://www.cadence.com/en_US/home/tools.html","Language source")</f>
        <v>Language source</v>
      </c>
    </row>
    <row r="137" customFormat="false" ht="23.85" hidden="false" customHeight="false" outlineLevel="0" collapsed="false">
      <c r="A137" s="5" t="s">
        <v>463</v>
      </c>
      <c r="B137" s="5" t="s">
        <v>467</v>
      </c>
      <c r="C137" s="5" t="s">
        <v>297</v>
      </c>
      <c r="D137" s="5" t="s">
        <v>468</v>
      </c>
      <c r="E137" s="5" t="s">
        <v>469</v>
      </c>
      <c r="F137" s="5" t="s">
        <v>309</v>
      </c>
      <c r="G137" s="5" t="s">
        <v>310</v>
      </c>
      <c r="H137" s="5" t="s">
        <v>22</v>
      </c>
      <c r="I137" s="5" t="s">
        <v>23</v>
      </c>
      <c r="J137" s="6" t="str">
        <f aca="false">HYPERLINK("https://www.altera.com/","Official site")</f>
        <v>Official site</v>
      </c>
      <c r="K137" s="6" t="str">
        <f aca="false">HYPERLINK("https://www.altera.com/","Evidence / lead")</f>
        <v>Evidence / lead</v>
      </c>
      <c r="L137" s="6" t="str">
        <f aca="false">HYPERLINK("https://www.cadence.com/en_US/home/tools.html","Language source")</f>
        <v>Language source</v>
      </c>
    </row>
    <row r="138" customFormat="false" ht="23.85" hidden="false" customHeight="false" outlineLevel="0" collapsed="false">
      <c r="A138" s="5" t="s">
        <v>463</v>
      </c>
      <c r="B138" s="5" t="s">
        <v>470</v>
      </c>
      <c r="C138" s="5" t="s">
        <v>297</v>
      </c>
      <c r="D138" s="5" t="s">
        <v>471</v>
      </c>
      <c r="E138" s="5" t="s">
        <v>472</v>
      </c>
      <c r="F138" s="5" t="s">
        <v>309</v>
      </c>
      <c r="G138" s="5" t="s">
        <v>310</v>
      </c>
      <c r="H138" s="5" t="s">
        <v>22</v>
      </c>
      <c r="I138" s="5" t="s">
        <v>23</v>
      </c>
      <c r="J138" s="6" t="str">
        <f aca="false">HYPERLINK("https://www.microchip.com/","Official site")</f>
        <v>Official site</v>
      </c>
      <c r="K138" s="6" t="str">
        <f aca="false">HYPERLINK("https://www.microchip.com/","Evidence / lead")</f>
        <v>Evidence / lead</v>
      </c>
      <c r="L138" s="6" t="str">
        <f aca="false">HYPERLINK("https://www.cadence.com/en_US/home/tools.html","Language source")</f>
        <v>Language source</v>
      </c>
    </row>
    <row r="139" customFormat="false" ht="23.85" hidden="false" customHeight="false" outlineLevel="0" collapsed="false">
      <c r="A139" s="5" t="s">
        <v>463</v>
      </c>
      <c r="B139" s="5" t="s">
        <v>473</v>
      </c>
      <c r="C139" s="5" t="s">
        <v>297</v>
      </c>
      <c r="D139" s="5" t="s">
        <v>474</v>
      </c>
      <c r="E139" s="5" t="s">
        <v>475</v>
      </c>
      <c r="F139" s="5" t="s">
        <v>309</v>
      </c>
      <c r="G139" s="5" t="s">
        <v>310</v>
      </c>
      <c r="H139" s="5" t="s">
        <v>22</v>
      </c>
      <c r="I139" s="5" t="s">
        <v>23</v>
      </c>
      <c r="J139" s="6" t="str">
        <f aca="false">HYPERLINK("https://www.latticesemi.com/","Official site")</f>
        <v>Official site</v>
      </c>
      <c r="K139" s="6" t="str">
        <f aca="false">HYPERLINK("https://www.latticesemi.com/","Evidence / lead")</f>
        <v>Evidence / lead</v>
      </c>
      <c r="L139" s="6" t="str">
        <f aca="false">HYPERLINK("https://www.cadence.com/en_US/home/tools.html","Language source")</f>
        <v>Language source</v>
      </c>
    </row>
    <row r="140" customFormat="false" ht="23.85" hidden="false" customHeight="false" outlineLevel="0" collapsed="false">
      <c r="A140" s="5" t="s">
        <v>463</v>
      </c>
      <c r="B140" s="5" t="s">
        <v>476</v>
      </c>
      <c r="C140" s="5" t="s">
        <v>17</v>
      </c>
      <c r="D140" s="5" t="s">
        <v>477</v>
      </c>
      <c r="E140" s="5" t="s">
        <v>478</v>
      </c>
      <c r="F140" s="5" t="s">
        <v>309</v>
      </c>
      <c r="G140" s="5" t="s">
        <v>310</v>
      </c>
      <c r="H140" s="5" t="s">
        <v>22</v>
      </c>
      <c r="I140" s="5" t="s">
        <v>23</v>
      </c>
      <c r="J140" s="6" t="str">
        <f aca="false">HYPERLINK("https://www.siemens.com/","Official site")</f>
        <v>Official site</v>
      </c>
      <c r="K140" s="6" t="str">
        <f aca="false">HYPERLINK("https://www.siemens.com/it-it/company/academic-future-workforce/educators/eda-higher-education-software/","Evidence / lead")</f>
        <v>Evidence / lead</v>
      </c>
      <c r="L140" s="6" t="str">
        <f aca="false">HYPERLINK("https://www.cadence.com/en_US/home/tools.html","Language source")</f>
        <v>Language source</v>
      </c>
    </row>
    <row r="141" customFormat="false" ht="23.85" hidden="false" customHeight="false" outlineLevel="0" collapsed="false">
      <c r="A141" s="5" t="s">
        <v>463</v>
      </c>
      <c r="B141" s="5" t="s">
        <v>479</v>
      </c>
      <c r="C141" s="5" t="s">
        <v>17</v>
      </c>
      <c r="D141" s="5" t="s">
        <v>480</v>
      </c>
      <c r="E141" s="5" t="s">
        <v>481</v>
      </c>
      <c r="F141" s="5" t="s">
        <v>309</v>
      </c>
      <c r="G141" s="5" t="s">
        <v>310</v>
      </c>
      <c r="H141" s="5" t="s">
        <v>22</v>
      </c>
      <c r="I141" s="5" t="s">
        <v>23</v>
      </c>
      <c r="J141" s="6" t="str">
        <f aca="false">HYPERLINK("https://www.cadence.com/","Official site")</f>
        <v>Official site</v>
      </c>
      <c r="K141" s="6" t="str">
        <f aca="false">HYPERLINK("https://www.cadence.com/Products_Nominal-Circuit-Analysis","Evidence / lead")</f>
        <v>Evidence / lead</v>
      </c>
      <c r="L141" s="6" t="str">
        <f aca="false">HYPERLINK("https://www.cadence.com/en_US/home/tools.html","Language source")</f>
        <v>Language source</v>
      </c>
    </row>
    <row r="142" customFormat="false" ht="23.85" hidden="false" customHeight="false" outlineLevel="0" collapsed="false">
      <c r="A142" s="5" t="s">
        <v>463</v>
      </c>
      <c r="B142" s="5" t="s">
        <v>482</v>
      </c>
      <c r="C142" s="5" t="s">
        <v>17</v>
      </c>
      <c r="D142" s="5" t="s">
        <v>483</v>
      </c>
      <c r="E142" s="5" t="s">
        <v>484</v>
      </c>
      <c r="F142" s="5" t="s">
        <v>309</v>
      </c>
      <c r="G142" s="5" t="s">
        <v>310</v>
      </c>
      <c r="H142" s="5" t="s">
        <v>22</v>
      </c>
      <c r="I142" s="5" t="s">
        <v>23</v>
      </c>
      <c r="J142" s="6" t="str">
        <f aca="false">HYPERLINK("https://www.synopsys.com/","Official site")</f>
        <v>Official site</v>
      </c>
      <c r="K142" s="6" t="str">
        <f aca="false">HYPERLINK("https://www.synopsys.com/","Evidence / lead")</f>
        <v>Evidence / lead</v>
      </c>
      <c r="L142" s="6" t="str">
        <f aca="false">HYPERLINK("https://www.cadence.com/en_US/home/tools.html","Language source")</f>
        <v>Language source</v>
      </c>
    </row>
    <row r="143" customFormat="false" ht="23.85" hidden="false" customHeight="false" outlineLevel="0" collapsed="false">
      <c r="A143" s="5" t="s">
        <v>463</v>
      </c>
      <c r="B143" s="5" t="s">
        <v>485</v>
      </c>
      <c r="C143" s="5" t="s">
        <v>48</v>
      </c>
      <c r="D143" s="5" t="s">
        <v>486</v>
      </c>
      <c r="E143" s="5" t="s">
        <v>487</v>
      </c>
      <c r="F143" s="5" t="s">
        <v>151</v>
      </c>
      <c r="G143" s="5" t="s">
        <v>152</v>
      </c>
      <c r="H143" s="5" t="s">
        <v>153</v>
      </c>
      <c r="I143" s="5" t="s">
        <v>23</v>
      </c>
      <c r="J143" s="6" t="str">
        <f aca="false">HYPERLINK("https://yosyshq.net/","Official site")</f>
        <v>Official site</v>
      </c>
      <c r="K143" s="6" t="str">
        <f aca="false">HYPERLINK("https://yosyshq.net/","Evidence / lead")</f>
        <v>Evidence / lead</v>
      </c>
      <c r="L143" s="6" t="str">
        <f aca="false">HYPERLINK("https://yosyshq.net/","Language source")</f>
        <v>Language source</v>
      </c>
    </row>
    <row r="144" customFormat="false" ht="23.85" hidden="false" customHeight="false" outlineLevel="0" collapsed="false">
      <c r="A144" s="5" t="s">
        <v>463</v>
      </c>
      <c r="B144" s="5" t="s">
        <v>488</v>
      </c>
      <c r="C144" s="5" t="s">
        <v>48</v>
      </c>
      <c r="D144" s="5" t="s">
        <v>489</v>
      </c>
      <c r="E144" s="5" t="s">
        <v>490</v>
      </c>
      <c r="F144" s="5" t="s">
        <v>151</v>
      </c>
      <c r="G144" s="5" t="s">
        <v>152</v>
      </c>
      <c r="H144" s="5" t="s">
        <v>153</v>
      </c>
      <c r="I144" s="5" t="s">
        <v>23</v>
      </c>
      <c r="J144" s="6" t="str">
        <f aca="false">HYPERLINK("https://verilator.org/","Official site")</f>
        <v>Official site</v>
      </c>
      <c r="K144" s="6" t="str">
        <f aca="false">HYPERLINK("https://verilator.org/","Evidence / lead")</f>
        <v>Evidence / lead</v>
      </c>
      <c r="L144" s="6" t="str">
        <f aca="false">HYPERLINK("https://verilator.org/","Language source")</f>
        <v>Language source</v>
      </c>
    </row>
    <row r="145" customFormat="false" ht="23.85" hidden="false" customHeight="false" outlineLevel="0" collapsed="false">
      <c r="A145" s="5" t="s">
        <v>463</v>
      </c>
      <c r="B145" s="5" t="s">
        <v>491</v>
      </c>
      <c r="C145" s="5" t="s">
        <v>48</v>
      </c>
      <c r="D145" s="5" t="s">
        <v>492</v>
      </c>
      <c r="E145" s="5" t="s">
        <v>493</v>
      </c>
      <c r="F145" s="5" t="s">
        <v>494</v>
      </c>
      <c r="G145" s="5" t="s">
        <v>495</v>
      </c>
      <c r="H145" s="5" t="s">
        <v>496</v>
      </c>
      <c r="I145" s="5" t="s">
        <v>23</v>
      </c>
      <c r="J145" s="6" t="str">
        <f aca="false">HYPERLINK("https://ghdl.github.io/ghdl/","Official site")</f>
        <v>Official site</v>
      </c>
      <c r="K145" s="6" t="str">
        <f aca="false">HYPERLINK("https://ghdl.github.io/ghdl/","Evidence / lead")</f>
        <v>Evidence / lead</v>
      </c>
      <c r="L145" s="6" t="str">
        <f aca="false">HYPERLINK("https://github.com/ghdl/ghdl","Language source")</f>
        <v>Language source</v>
      </c>
    </row>
    <row r="146" customFormat="false" ht="23.85" hidden="false" customHeight="false" outlineLevel="0" collapsed="false">
      <c r="A146" s="5" t="s">
        <v>497</v>
      </c>
      <c r="B146" s="5" t="s">
        <v>498</v>
      </c>
      <c r="C146" s="5" t="s">
        <v>17</v>
      </c>
      <c r="D146" s="5" t="s">
        <v>499</v>
      </c>
      <c r="E146" s="5" t="s">
        <v>500</v>
      </c>
      <c r="F146" s="5" t="s">
        <v>309</v>
      </c>
      <c r="G146" s="5" t="s">
        <v>310</v>
      </c>
      <c r="H146" s="5" t="s">
        <v>22</v>
      </c>
      <c r="I146" s="5" t="s">
        <v>23</v>
      </c>
      <c r="J146" s="6" t="str">
        <f aca="false">HYPERLINK("https://www.cadence.com/","Official site")</f>
        <v>Official site</v>
      </c>
      <c r="K146" s="6" t="str">
        <f aca="false">HYPERLINK("https://www.cadence.com/en_US/home/tools/custom-ic-analog-rf-design/circuit-simulation.html","Evidence / lead")</f>
        <v>Evidence / lead</v>
      </c>
      <c r="L146" s="6" t="str">
        <f aca="false">HYPERLINK("https://www.cadence.com/en_US/home/tools.html","Language source")</f>
        <v>Language source</v>
      </c>
    </row>
    <row r="147" customFormat="false" ht="23.85" hidden="false" customHeight="false" outlineLevel="0" collapsed="false">
      <c r="A147" s="5" t="s">
        <v>497</v>
      </c>
      <c r="B147" s="5" t="s">
        <v>501</v>
      </c>
      <c r="C147" s="5" t="s">
        <v>17</v>
      </c>
      <c r="D147" s="5" t="s">
        <v>502</v>
      </c>
      <c r="E147" s="5" t="s">
        <v>503</v>
      </c>
      <c r="F147" s="5" t="s">
        <v>309</v>
      </c>
      <c r="G147" s="5" t="s">
        <v>310</v>
      </c>
      <c r="H147" s="5" t="s">
        <v>22</v>
      </c>
      <c r="I147" s="5" t="s">
        <v>23</v>
      </c>
      <c r="J147" s="6" t="str">
        <f aca="false">HYPERLINK("https://www.synopsys.com/","Official site")</f>
        <v>Official site</v>
      </c>
      <c r="K147" s="6" t="str">
        <f aca="false">HYPERLINK("https://www.synopsys.com/","Evidence / lead")</f>
        <v>Evidence / lead</v>
      </c>
      <c r="L147" s="6" t="str">
        <f aca="false">HYPERLINK("https://www.cadence.com/en_US/home/tools.html","Language source")</f>
        <v>Language source</v>
      </c>
    </row>
    <row r="148" customFormat="false" ht="23.85" hidden="false" customHeight="false" outlineLevel="0" collapsed="false">
      <c r="A148" s="5" t="s">
        <v>497</v>
      </c>
      <c r="B148" s="5" t="s">
        <v>504</v>
      </c>
      <c r="C148" s="5" t="s">
        <v>17</v>
      </c>
      <c r="D148" s="5" t="s">
        <v>505</v>
      </c>
      <c r="E148" s="5" t="s">
        <v>506</v>
      </c>
      <c r="F148" s="5" t="s">
        <v>309</v>
      </c>
      <c r="G148" s="5" t="s">
        <v>310</v>
      </c>
      <c r="H148" s="5" t="s">
        <v>22</v>
      </c>
      <c r="I148" s="5" t="s">
        <v>23</v>
      </c>
      <c r="J148" s="6" t="str">
        <f aca="false">HYPERLINK("https://www.cadence.com/","Official site")</f>
        <v>Official site</v>
      </c>
      <c r="K148" s="6" t="str">
        <f aca="false">HYPERLINK("https://www.cadence.com/Products_Nominal-Circuit-Analysis","Evidence / lead")</f>
        <v>Evidence / lead</v>
      </c>
      <c r="L148" s="6" t="str">
        <f aca="false">HYPERLINK("https://www.cadence.com/en_US/home/tools.html","Language source")</f>
        <v>Language source</v>
      </c>
    </row>
    <row r="149" customFormat="false" ht="23.85" hidden="false" customHeight="false" outlineLevel="0" collapsed="false">
      <c r="A149" s="5" t="s">
        <v>497</v>
      </c>
      <c r="B149" s="5" t="s">
        <v>507</v>
      </c>
      <c r="C149" s="5" t="s">
        <v>17</v>
      </c>
      <c r="D149" s="5" t="s">
        <v>508</v>
      </c>
      <c r="E149" s="5" t="s">
        <v>509</v>
      </c>
      <c r="F149" s="5" t="s">
        <v>309</v>
      </c>
      <c r="G149" s="5" t="s">
        <v>310</v>
      </c>
      <c r="H149" s="5" t="s">
        <v>22</v>
      </c>
      <c r="I149" s="5" t="s">
        <v>23</v>
      </c>
      <c r="J149" s="6" t="str">
        <f aca="false">HYPERLINK("https://www.synopsys.com/","Official site")</f>
        <v>Official site</v>
      </c>
      <c r="K149" s="6" t="str">
        <f aca="false">HYPERLINK("https://www.synopsys.com/","Evidence / lead")</f>
        <v>Evidence / lead</v>
      </c>
      <c r="L149" s="6" t="str">
        <f aca="false">HYPERLINK("https://www.cadence.com/en_US/home/tools.html","Language source")</f>
        <v>Language source</v>
      </c>
    </row>
    <row r="150" customFormat="false" ht="23.85" hidden="false" customHeight="false" outlineLevel="0" collapsed="false">
      <c r="A150" s="5" t="s">
        <v>497</v>
      </c>
      <c r="B150" s="5" t="s">
        <v>510</v>
      </c>
      <c r="C150" s="5" t="s">
        <v>17</v>
      </c>
      <c r="D150" s="5" t="s">
        <v>511</v>
      </c>
      <c r="E150" s="5" t="s">
        <v>512</v>
      </c>
      <c r="F150" s="5" t="s">
        <v>309</v>
      </c>
      <c r="G150" s="5" t="s">
        <v>310</v>
      </c>
      <c r="H150" s="5" t="s">
        <v>22</v>
      </c>
      <c r="I150" s="5" t="s">
        <v>23</v>
      </c>
      <c r="J150" s="6" t="str">
        <f aca="false">HYPERLINK("https://www.synopsys.com/","Official site")</f>
        <v>Official site</v>
      </c>
      <c r="K150" s="6" t="str">
        <f aca="false">HYPERLINK("https://www.synopsys.com/","Evidence / lead")</f>
        <v>Evidence / lead</v>
      </c>
      <c r="L150" s="6" t="str">
        <f aca="false">HYPERLINK("https://www.cadence.com/en_US/home/tools.html","Language source")</f>
        <v>Language source</v>
      </c>
    </row>
    <row r="151" customFormat="false" ht="23.85" hidden="false" customHeight="false" outlineLevel="0" collapsed="false">
      <c r="A151" s="5" t="s">
        <v>497</v>
      </c>
      <c r="B151" s="5" t="s">
        <v>513</v>
      </c>
      <c r="C151" s="5" t="s">
        <v>17</v>
      </c>
      <c r="D151" s="5" t="s">
        <v>514</v>
      </c>
      <c r="E151" s="5" t="s">
        <v>515</v>
      </c>
      <c r="F151" s="5" t="s">
        <v>309</v>
      </c>
      <c r="G151" s="5" t="s">
        <v>310</v>
      </c>
      <c r="H151" s="5" t="s">
        <v>22</v>
      </c>
      <c r="I151" s="5" t="s">
        <v>23</v>
      </c>
      <c r="J151" s="6" t="str">
        <f aca="false">HYPERLINK("https://www.siemens.com/","Official site")</f>
        <v>Official site</v>
      </c>
      <c r="K151" s="6" t="str">
        <f aca="false">HYPERLINK("https://www.siemens.com/en-gb/technology/electronic-design-automation-eda/","Evidence / lead")</f>
        <v>Evidence / lead</v>
      </c>
      <c r="L151" s="6" t="str">
        <f aca="false">HYPERLINK("https://www.cadence.com/en_US/home/tools.html","Language source")</f>
        <v>Language source</v>
      </c>
    </row>
    <row r="152" customFormat="false" ht="23.85" hidden="false" customHeight="false" outlineLevel="0" collapsed="false">
      <c r="A152" s="5" t="s">
        <v>497</v>
      </c>
      <c r="B152" s="5" t="s">
        <v>516</v>
      </c>
      <c r="C152" s="5" t="s">
        <v>17</v>
      </c>
      <c r="D152" s="5" t="s">
        <v>517</v>
      </c>
      <c r="E152" s="5" t="s">
        <v>518</v>
      </c>
      <c r="F152" s="5" t="s">
        <v>309</v>
      </c>
      <c r="G152" s="5" t="s">
        <v>310</v>
      </c>
      <c r="H152" s="5" t="s">
        <v>22</v>
      </c>
      <c r="I152" s="5" t="s">
        <v>23</v>
      </c>
      <c r="J152" s="6" t="str">
        <f aca="false">HYPERLINK("https://www.cadence.com/","Official site")</f>
        <v>Official site</v>
      </c>
      <c r="K152" s="6" t="str">
        <f aca="false">HYPERLINK("https://www.cadence.com/en_US/home/tools/tools-a-z.html","Evidence / lead")</f>
        <v>Evidence / lead</v>
      </c>
      <c r="L152" s="6" t="str">
        <f aca="false">HYPERLINK("https://www.cadence.com/en_US/home/tools.html","Language source")</f>
        <v>Language source</v>
      </c>
    </row>
    <row r="153" customFormat="false" ht="23.85" hidden="false" customHeight="false" outlineLevel="0" collapsed="false">
      <c r="A153" s="5" t="s">
        <v>497</v>
      </c>
      <c r="B153" s="5" t="s">
        <v>519</v>
      </c>
      <c r="C153" s="5" t="s">
        <v>48</v>
      </c>
      <c r="D153" s="5" t="s">
        <v>520</v>
      </c>
      <c r="E153" s="5" t="s">
        <v>521</v>
      </c>
      <c r="F153" s="5" t="s">
        <v>151</v>
      </c>
      <c r="G153" s="5" t="s">
        <v>152</v>
      </c>
      <c r="H153" s="5" t="s">
        <v>153</v>
      </c>
      <c r="I153" s="5" t="s">
        <v>23</v>
      </c>
      <c r="J153" s="6" t="str">
        <f aca="false">HYPERLINK("https://theopenroadproject.org/","Official site")</f>
        <v>Official site</v>
      </c>
      <c r="K153" s="6" t="str">
        <f aca="false">HYPERLINK("https://theopenroadproject.org/","Evidence / lead")</f>
        <v>Evidence / lead</v>
      </c>
      <c r="L153" s="6" t="str">
        <f aca="false">HYPERLINK("https://theopenroadproject.org/","Language source")</f>
        <v>Language source</v>
      </c>
    </row>
    <row r="154" customFormat="false" ht="23.85" hidden="false" customHeight="false" outlineLevel="0" collapsed="false">
      <c r="A154" s="5" t="s">
        <v>497</v>
      </c>
      <c r="B154" s="5" t="s">
        <v>522</v>
      </c>
      <c r="C154" s="5" t="s">
        <v>48</v>
      </c>
      <c r="D154" s="5" t="s">
        <v>523</v>
      </c>
      <c r="E154" s="5" t="s">
        <v>524</v>
      </c>
      <c r="F154" s="5" t="s">
        <v>151</v>
      </c>
      <c r="G154" s="5" t="s">
        <v>152</v>
      </c>
      <c r="H154" s="5" t="s">
        <v>153</v>
      </c>
      <c r="I154" s="5" t="s">
        <v>23</v>
      </c>
      <c r="J154" s="6" t="str">
        <f aca="false">HYPERLINK("https://www.klayout.de/","Official site")</f>
        <v>Official site</v>
      </c>
      <c r="K154" s="6" t="str">
        <f aca="false">HYPERLINK("https://www.klayout.de/","Evidence / lead")</f>
        <v>Evidence / lead</v>
      </c>
      <c r="L154" s="6" t="str">
        <f aca="false">HYPERLINK("https://www.klayout.de/","Language source")</f>
        <v>Language source</v>
      </c>
    </row>
    <row r="155" customFormat="false" ht="23.85" hidden="false" customHeight="false" outlineLevel="0" collapsed="false">
      <c r="A155" s="5" t="s">
        <v>497</v>
      </c>
      <c r="B155" s="5" t="s">
        <v>525</v>
      </c>
      <c r="C155" s="5" t="s">
        <v>48</v>
      </c>
      <c r="D155" s="5" t="s">
        <v>526</v>
      </c>
      <c r="E155" s="5" t="s">
        <v>527</v>
      </c>
      <c r="F155" s="5" t="s">
        <v>151</v>
      </c>
      <c r="G155" s="5" t="s">
        <v>152</v>
      </c>
      <c r="H155" s="5" t="s">
        <v>153</v>
      </c>
      <c r="I155" s="5" t="s">
        <v>23</v>
      </c>
      <c r="J155" s="6" t="str">
        <f aca="false">HYPERLINK("http://opencircuitdesign.com/magic/","Official site")</f>
        <v>Official site</v>
      </c>
      <c r="K155" s="6" t="str">
        <f aca="false">HYPERLINK("https://opencircuitdesign.com/magic/","Evidence / lead")</f>
        <v>Evidence / lead</v>
      </c>
      <c r="L155" s="6" t="str">
        <f aca="false">HYPERLINK("http://opencircuitdesign.com/magic/","Language source")</f>
        <v>Language source</v>
      </c>
    </row>
    <row r="156" customFormat="false" ht="23.85" hidden="false" customHeight="false" outlineLevel="0" collapsed="false">
      <c r="A156" s="5" t="s">
        <v>528</v>
      </c>
      <c r="B156" s="5" t="s">
        <v>529</v>
      </c>
      <c r="C156" s="5" t="s">
        <v>17</v>
      </c>
      <c r="D156" s="5" t="s">
        <v>530</v>
      </c>
      <c r="E156" s="5" t="s">
        <v>531</v>
      </c>
      <c r="F156" s="5" t="s">
        <v>20</v>
      </c>
      <c r="G156" s="5" t="s">
        <v>21</v>
      </c>
      <c r="H156" s="5" t="s">
        <v>22</v>
      </c>
      <c r="I156" s="5" t="s">
        <v>23</v>
      </c>
      <c r="J156" s="6" t="str">
        <f aca="false">HYPERLINK("https://www.ansys.com/","Official site")</f>
        <v>Official site</v>
      </c>
      <c r="K156" s="6" t="str">
        <f aca="false">HYPERLINK("https://www.ansys.com/academic/students/ansys-discovery-student","Evidence / lead")</f>
        <v>Evidence / lead</v>
      </c>
      <c r="L156" s="6" t="str">
        <f aca="false">HYPERLINK("https://www.ansys.com/products","Language source")</f>
        <v>Language source</v>
      </c>
    </row>
    <row r="157" customFormat="false" ht="23.85" hidden="false" customHeight="false" outlineLevel="0" collapsed="false">
      <c r="A157" s="5" t="s">
        <v>528</v>
      </c>
      <c r="B157" s="5" t="s">
        <v>532</v>
      </c>
      <c r="C157" s="5" t="s">
        <v>17</v>
      </c>
      <c r="D157" s="5" t="s">
        <v>533</v>
      </c>
      <c r="E157" s="5" t="s">
        <v>534</v>
      </c>
      <c r="F157" s="5" t="s">
        <v>20</v>
      </c>
      <c r="G157" s="5" t="s">
        <v>21</v>
      </c>
      <c r="H157" s="5" t="s">
        <v>22</v>
      </c>
      <c r="I157" s="5" t="s">
        <v>23</v>
      </c>
      <c r="J157" s="6" t="str">
        <f aca="false">HYPERLINK("https://www.ansys.com/","Official site")</f>
        <v>Official site</v>
      </c>
      <c r="K157" s="6" t="str">
        <f aca="false">HYPERLINK("https://www.ansys.com/content/ansysincprogram/en-us/home/products/electronics/ansys-icepak.html","Evidence / lead")</f>
        <v>Evidence / lead</v>
      </c>
      <c r="L157" s="6" t="str">
        <f aca="false">HYPERLINK("https://www.ansys.com/products","Language source")</f>
        <v>Language source</v>
      </c>
    </row>
    <row r="158" customFormat="false" ht="23.85" hidden="false" customHeight="false" outlineLevel="0" collapsed="false">
      <c r="A158" s="5" t="s">
        <v>528</v>
      </c>
      <c r="B158" s="5" t="s">
        <v>535</v>
      </c>
      <c r="C158" s="5" t="s">
        <v>17</v>
      </c>
      <c r="D158" s="5" t="s">
        <v>536</v>
      </c>
      <c r="E158" s="5" t="s">
        <v>537</v>
      </c>
      <c r="F158" s="5" t="s">
        <v>20</v>
      </c>
      <c r="G158" s="5" t="s">
        <v>21</v>
      </c>
      <c r="H158" s="5" t="s">
        <v>22</v>
      </c>
      <c r="I158" s="5" t="s">
        <v>30</v>
      </c>
      <c r="J158" s="6" t="str">
        <f aca="false">HYPERLINK("https://www.jmag-international.com/","Official site")</f>
        <v>Official site</v>
      </c>
      <c r="K158" s="6" t="str">
        <f aca="false">HYPERLINK("https://www.jmag-international.com/","Evidence / lead")</f>
        <v>Evidence / lead</v>
      </c>
      <c r="L158" s="6" t="str">
        <f aca="false">HYPERLINK("https://www.ansys.com/products","Language source")</f>
        <v>Language source</v>
      </c>
    </row>
    <row r="159" customFormat="false" ht="23.85" hidden="false" customHeight="false" outlineLevel="0" collapsed="false">
      <c r="A159" s="5" t="s">
        <v>528</v>
      </c>
      <c r="B159" s="5" t="s">
        <v>538</v>
      </c>
      <c r="C159" s="5" t="s">
        <v>17</v>
      </c>
      <c r="D159" s="5" t="s">
        <v>539</v>
      </c>
      <c r="E159" s="5" t="s">
        <v>540</v>
      </c>
      <c r="F159" s="5" t="s">
        <v>20</v>
      </c>
      <c r="G159" s="5" t="s">
        <v>21</v>
      </c>
      <c r="H159" s="5" t="s">
        <v>22</v>
      </c>
      <c r="I159" s="5" t="s">
        <v>37</v>
      </c>
      <c r="J159" s="6" t="str">
        <f aca="false">HYPERLINK("https://altair.com/flux","Official site")</f>
        <v>Official site</v>
      </c>
      <c r="K159" s="6" t="str">
        <f aca="false">HYPERLINK("https://altair.com/flux","Evidence / lead")</f>
        <v>Evidence / lead</v>
      </c>
      <c r="L159" s="6" t="str">
        <f aca="false">HYPERLINK("https://www.ansys.com/products","Language source")</f>
        <v>Language source</v>
      </c>
    </row>
    <row r="160" customFormat="false" ht="23.85" hidden="false" customHeight="false" outlineLevel="0" collapsed="false">
      <c r="A160" s="5" t="s">
        <v>528</v>
      </c>
      <c r="B160" s="5" t="s">
        <v>541</v>
      </c>
      <c r="C160" s="5" t="s">
        <v>17</v>
      </c>
      <c r="D160" s="5" t="s">
        <v>542</v>
      </c>
      <c r="E160" s="5" t="s">
        <v>543</v>
      </c>
      <c r="F160" s="5" t="s">
        <v>20</v>
      </c>
      <c r="G160" s="5" t="s">
        <v>21</v>
      </c>
      <c r="H160" s="5" t="s">
        <v>22</v>
      </c>
      <c r="I160" s="5" t="s">
        <v>23</v>
      </c>
      <c r="J160" s="6" t="str">
        <f aca="false">HYPERLINK("https://www.3ds.com/","Official site")</f>
        <v>Official site</v>
      </c>
      <c r="K160" s="6" t="str">
        <f aca="false">HYPERLINK("https://www.3ds.com/support/hardware-and-software/simulia-systems-information","Evidence / lead")</f>
        <v>Evidence / lead</v>
      </c>
      <c r="L160" s="6" t="str">
        <f aca="false">HYPERLINK("https://www.ansys.com/products","Language source")</f>
        <v>Language source</v>
      </c>
    </row>
    <row r="161" customFormat="false" ht="23.85" hidden="false" customHeight="false" outlineLevel="0" collapsed="false">
      <c r="A161" s="5" t="s">
        <v>528</v>
      </c>
      <c r="B161" s="5" t="s">
        <v>544</v>
      </c>
      <c r="C161" s="5" t="s">
        <v>17</v>
      </c>
      <c r="D161" s="5" t="s">
        <v>545</v>
      </c>
      <c r="E161" s="5" t="s">
        <v>546</v>
      </c>
      <c r="F161" s="5" t="s">
        <v>20</v>
      </c>
      <c r="G161" s="5" t="s">
        <v>21</v>
      </c>
      <c r="H161" s="5" t="s">
        <v>22</v>
      </c>
      <c r="I161" s="5" t="s">
        <v>23</v>
      </c>
      <c r="J161" s="6" t="str">
        <f aca="false">HYPERLINK("https://www.siemens.com/","Official site")</f>
        <v>Official site</v>
      </c>
      <c r="K161" s="6" t="str">
        <f aca="false">HYPERLINK("https://www.siemens.com/en-us/products/simcenter/simcenter-x/advanced/","Evidence / lead")</f>
        <v>Evidence / lead</v>
      </c>
      <c r="L161" s="6" t="str">
        <f aca="false">HYPERLINK("https://www.ansys.com/products","Language source")</f>
        <v>Language source</v>
      </c>
    </row>
    <row r="162" customFormat="false" ht="23.85" hidden="false" customHeight="false" outlineLevel="0" collapsed="false">
      <c r="A162" s="5" t="s">
        <v>528</v>
      </c>
      <c r="B162" s="5" t="s">
        <v>547</v>
      </c>
      <c r="C162" s="5" t="s">
        <v>17</v>
      </c>
      <c r="D162" s="5" t="s">
        <v>548</v>
      </c>
      <c r="E162" s="5" t="s">
        <v>549</v>
      </c>
      <c r="F162" s="5" t="s">
        <v>20</v>
      </c>
      <c r="G162" s="5" t="s">
        <v>21</v>
      </c>
      <c r="H162" s="5" t="s">
        <v>22</v>
      </c>
      <c r="I162" s="5" t="s">
        <v>23</v>
      </c>
      <c r="J162" s="6" t="str">
        <f aca="false">HYPERLINK("https://www.comsol.com/products","Official site")</f>
        <v>Official site</v>
      </c>
      <c r="K162" s="6" t="str">
        <f aca="false">HYPERLINK("https://www.comsol.com/products","Evidence / lead")</f>
        <v>Evidence / lead</v>
      </c>
      <c r="L162" s="6" t="str">
        <f aca="false">HYPERLINK("https://www.ansys.com/products","Language source")</f>
        <v>Language source</v>
      </c>
    </row>
    <row r="163" customFormat="false" ht="23.85" hidden="false" customHeight="false" outlineLevel="0" collapsed="false">
      <c r="A163" s="5" t="s">
        <v>528</v>
      </c>
      <c r="B163" s="5" t="s">
        <v>550</v>
      </c>
      <c r="C163" s="5" t="s">
        <v>17</v>
      </c>
      <c r="D163" s="5" t="s">
        <v>551</v>
      </c>
      <c r="E163" s="5" t="s">
        <v>552</v>
      </c>
      <c r="F163" s="5" t="s">
        <v>20</v>
      </c>
      <c r="G163" s="5" t="s">
        <v>21</v>
      </c>
      <c r="H163" s="5" t="s">
        <v>22</v>
      </c>
      <c r="I163" s="5" t="s">
        <v>23</v>
      </c>
      <c r="J163" s="6" t="str">
        <f aca="false">HYPERLINK("https://www.siemens.com/","Official site")</f>
        <v>Official site</v>
      </c>
      <c r="K163" s="6" t="str">
        <f aca="false">HYPERLINK("https://www.siemens.com/en-us/products/simcenter/simcenter-x/advanced/","Evidence / lead")</f>
        <v>Evidence / lead</v>
      </c>
      <c r="L163" s="6" t="str">
        <f aca="false">HYPERLINK("https://www.ansys.com/products","Language source")</f>
        <v>Language source</v>
      </c>
    </row>
    <row r="164" customFormat="false" ht="23.85" hidden="false" customHeight="false" outlineLevel="0" collapsed="false">
      <c r="A164" s="5" t="s">
        <v>528</v>
      </c>
      <c r="B164" s="5" t="s">
        <v>553</v>
      </c>
      <c r="C164" s="5" t="s">
        <v>48</v>
      </c>
      <c r="D164" s="5" t="s">
        <v>554</v>
      </c>
      <c r="E164" s="5" t="s">
        <v>555</v>
      </c>
      <c r="F164" s="5" t="s">
        <v>151</v>
      </c>
      <c r="G164" s="5" t="s">
        <v>152</v>
      </c>
      <c r="H164" s="5" t="s">
        <v>153</v>
      </c>
      <c r="I164" s="5" t="s">
        <v>37</v>
      </c>
      <c r="J164" s="6" t="str">
        <f aca="false">HYPERLINK("https://www.femm.info/","Official site")</f>
        <v>Official site</v>
      </c>
      <c r="K164" s="6" t="str">
        <f aca="false">HYPERLINK("https://www.femm.info/","Evidence / lead")</f>
        <v>Evidence / lead</v>
      </c>
      <c r="L164" s="6" t="str">
        <f aca="false">HYPERLINK("https://www.femm.info/","Language source")</f>
        <v>Language source</v>
      </c>
    </row>
    <row r="165" customFormat="false" ht="23.85" hidden="false" customHeight="false" outlineLevel="0" collapsed="false">
      <c r="A165" s="5" t="s">
        <v>528</v>
      </c>
      <c r="B165" s="5" t="s">
        <v>556</v>
      </c>
      <c r="C165" s="5" t="s">
        <v>48</v>
      </c>
      <c r="D165" s="5" t="s">
        <v>557</v>
      </c>
      <c r="E165" s="5" t="s">
        <v>558</v>
      </c>
      <c r="F165" s="5" t="s">
        <v>151</v>
      </c>
      <c r="G165" s="5" t="s">
        <v>152</v>
      </c>
      <c r="H165" s="5" t="s">
        <v>153</v>
      </c>
      <c r="I165" s="5" t="s">
        <v>37</v>
      </c>
      <c r="J165" s="6" t="str">
        <f aca="false">HYPERLINK("https://www.pyleecan.org/","Official site")</f>
        <v>Official site</v>
      </c>
      <c r="K165" s="6" t="str">
        <f aca="false">HYPERLINK("https://www.pyleecan.org/","Evidence / lead")</f>
        <v>Evidence / lead</v>
      </c>
      <c r="L165" s="6" t="str">
        <f aca="false">HYPERLINK("https://www.pyleecan.org/","Language source")</f>
        <v>Language source</v>
      </c>
    </row>
    <row r="166" customFormat="false" ht="23.85" hidden="false" customHeight="false" outlineLevel="0" collapsed="false">
      <c r="A166" s="5" t="s">
        <v>559</v>
      </c>
      <c r="B166" s="5" t="s">
        <v>560</v>
      </c>
      <c r="C166" s="5" t="s">
        <v>17</v>
      </c>
      <c r="D166" s="5" t="s">
        <v>561</v>
      </c>
      <c r="E166" s="5" t="s">
        <v>562</v>
      </c>
      <c r="F166" s="5" t="s">
        <v>242</v>
      </c>
      <c r="G166" s="5" t="s">
        <v>243</v>
      </c>
      <c r="H166" s="5" t="s">
        <v>22</v>
      </c>
      <c r="I166" s="5" t="s">
        <v>23</v>
      </c>
      <c r="J166" s="6" t="str">
        <f aca="false">HYPERLINK("https://www.solidworks.com/","Official site")</f>
        <v>Official site</v>
      </c>
      <c r="K166" s="6" t="str">
        <f aca="false">HYPERLINK("https://www.solidworks.com/","Evidence / lead")</f>
        <v>Evidence / lead</v>
      </c>
      <c r="L166" s="6" t="str">
        <f aca="false">HYPERLINK("https://www.ptc.com/en/products/creo","Language source")</f>
        <v>Language source</v>
      </c>
    </row>
    <row r="167" customFormat="false" ht="23.85" hidden="false" customHeight="false" outlineLevel="0" collapsed="false">
      <c r="A167" s="5" t="s">
        <v>559</v>
      </c>
      <c r="B167" s="5" t="s">
        <v>563</v>
      </c>
      <c r="C167" s="5" t="s">
        <v>17</v>
      </c>
      <c r="D167" s="5" t="s">
        <v>564</v>
      </c>
      <c r="E167" s="5" t="s">
        <v>565</v>
      </c>
      <c r="F167" s="5" t="s">
        <v>242</v>
      </c>
      <c r="G167" s="5" t="s">
        <v>243</v>
      </c>
      <c r="H167" s="5" t="s">
        <v>22</v>
      </c>
      <c r="I167" s="5" t="s">
        <v>23</v>
      </c>
      <c r="J167" s="6" t="str">
        <f aca="false">HYPERLINK("https://www.3ds.com/products/catia","Official site")</f>
        <v>Official site</v>
      </c>
      <c r="K167" s="6" t="str">
        <f aca="false">HYPERLINK("https://www.3ds.com/support/hardware-and-software/simulia-systems-information","Evidence / lead")</f>
        <v>Evidence / lead</v>
      </c>
      <c r="L167" s="6" t="str">
        <f aca="false">HYPERLINK("https://www.ptc.com/en/products/creo","Language source")</f>
        <v>Language source</v>
      </c>
    </row>
    <row r="168" customFormat="false" ht="23.85" hidden="false" customHeight="false" outlineLevel="0" collapsed="false">
      <c r="A168" s="5" t="s">
        <v>559</v>
      </c>
      <c r="B168" s="5" t="s">
        <v>566</v>
      </c>
      <c r="C168" s="5" t="s">
        <v>17</v>
      </c>
      <c r="D168" s="5" t="s">
        <v>567</v>
      </c>
      <c r="E168" s="5" t="s">
        <v>568</v>
      </c>
      <c r="F168" s="5" t="s">
        <v>242</v>
      </c>
      <c r="G168" s="5" t="s">
        <v>243</v>
      </c>
      <c r="H168" s="5" t="s">
        <v>22</v>
      </c>
      <c r="I168" s="5" t="s">
        <v>23</v>
      </c>
      <c r="J168" s="6" t="str">
        <f aca="false">HYPERLINK("https://www.siemens.com/","Official site")</f>
        <v>Official site</v>
      </c>
      <c r="K168" s="6" t="str">
        <f aca="false">HYPERLINK("https://www.siemens.com/en-gb/products/tia-portal/step7/","Evidence / lead")</f>
        <v>Evidence / lead</v>
      </c>
      <c r="L168" s="6" t="str">
        <f aca="false">HYPERLINK("https://www.ptc.com/en/products/creo","Language source")</f>
        <v>Language source</v>
      </c>
    </row>
    <row r="169" customFormat="false" ht="23.85" hidden="false" customHeight="false" outlineLevel="0" collapsed="false">
      <c r="A169" s="5" t="s">
        <v>559</v>
      </c>
      <c r="B169" s="5" t="s">
        <v>569</v>
      </c>
      <c r="C169" s="5" t="s">
        <v>17</v>
      </c>
      <c r="D169" s="5" t="s">
        <v>570</v>
      </c>
      <c r="E169" s="5" t="s">
        <v>571</v>
      </c>
      <c r="F169" s="5" t="s">
        <v>242</v>
      </c>
      <c r="G169" s="5" t="s">
        <v>243</v>
      </c>
      <c r="H169" s="5" t="s">
        <v>22</v>
      </c>
      <c r="I169" s="5" t="s">
        <v>23</v>
      </c>
      <c r="J169" s="6" t="str">
        <f aca="false">HYPERLINK("https://www.ptc.com/en/products/creo","Official site")</f>
        <v>Official site</v>
      </c>
      <c r="K169" s="6" t="str">
        <f aca="false">HYPERLINK("https://www.ptc.com/en/technologies/cad/cad-drawing","Evidence / lead")</f>
        <v>Evidence / lead</v>
      </c>
      <c r="L169" s="6" t="str">
        <f aca="false">HYPERLINK("https://www.ptc.com/en/products/creo","Language source")</f>
        <v>Language source</v>
      </c>
    </row>
    <row r="170" customFormat="false" ht="23.85" hidden="false" customHeight="false" outlineLevel="0" collapsed="false">
      <c r="A170" s="5" t="s">
        <v>559</v>
      </c>
      <c r="B170" s="5" t="s">
        <v>572</v>
      </c>
      <c r="C170" s="5" t="s">
        <v>17</v>
      </c>
      <c r="D170" s="5" t="s">
        <v>573</v>
      </c>
      <c r="E170" s="5" t="s">
        <v>574</v>
      </c>
      <c r="F170" s="5" t="s">
        <v>242</v>
      </c>
      <c r="G170" s="5" t="s">
        <v>243</v>
      </c>
      <c r="H170" s="5" t="s">
        <v>22</v>
      </c>
      <c r="I170" s="5" t="s">
        <v>23</v>
      </c>
      <c r="J170" s="6" t="str">
        <f aca="false">HYPERLINK("https://www.autodesk.com/","Official site")</f>
        <v>Official site</v>
      </c>
      <c r="K170" s="6" t="str">
        <f aca="false">HYPERLINK("https://www.autodesk.com/industry/manufacturing/design-and-engineering","Evidence / lead")</f>
        <v>Evidence / lead</v>
      </c>
      <c r="L170" s="6" t="str">
        <f aca="false">HYPERLINK("https://www.ptc.com/en/products/creo","Language source")</f>
        <v>Language source</v>
      </c>
    </row>
    <row r="171" customFormat="false" ht="23.85" hidden="false" customHeight="false" outlineLevel="0" collapsed="false">
      <c r="A171" s="5" t="s">
        <v>559</v>
      </c>
      <c r="B171" s="5" t="s">
        <v>575</v>
      </c>
      <c r="C171" s="5" t="s">
        <v>297</v>
      </c>
      <c r="D171" s="5" t="s">
        <v>576</v>
      </c>
      <c r="E171" s="5" t="s">
        <v>577</v>
      </c>
      <c r="F171" s="5" t="s">
        <v>242</v>
      </c>
      <c r="G171" s="5" t="s">
        <v>243</v>
      </c>
      <c r="H171" s="5" t="s">
        <v>22</v>
      </c>
      <c r="I171" s="5" t="s">
        <v>23</v>
      </c>
      <c r="J171" s="6" t="str">
        <f aca="false">HYPERLINK("https://www.autodesk.com/products/fusion-360/overview","Official site")</f>
        <v>Official site</v>
      </c>
      <c r="K171" s="6" t="str">
        <f aca="false">HYPERLINK("https://www.autodesk.com/solutions/technical-drawing","Evidence / lead")</f>
        <v>Evidence / lead</v>
      </c>
      <c r="L171" s="6" t="str">
        <f aca="false">HYPERLINK("https://www.ptc.com/en/products/creo","Language source")</f>
        <v>Language source</v>
      </c>
    </row>
    <row r="172" customFormat="false" ht="23.85" hidden="false" customHeight="false" outlineLevel="0" collapsed="false">
      <c r="A172" s="5" t="s">
        <v>559</v>
      </c>
      <c r="B172" s="5" t="s">
        <v>578</v>
      </c>
      <c r="C172" s="5" t="s">
        <v>17</v>
      </c>
      <c r="D172" s="5" t="s">
        <v>579</v>
      </c>
      <c r="E172" s="5" t="s">
        <v>580</v>
      </c>
      <c r="F172" s="5" t="s">
        <v>242</v>
      </c>
      <c r="G172" s="5" t="s">
        <v>243</v>
      </c>
      <c r="H172" s="5" t="s">
        <v>22</v>
      </c>
      <c r="I172" s="5" t="s">
        <v>30</v>
      </c>
      <c r="J172" s="6" t="str">
        <f aca="false">HYPERLINK("https://www.siemens.com/","Official site")</f>
        <v>Official site</v>
      </c>
      <c r="K172" s="6" t="str">
        <f aca="false">HYPERLINK("https://www.siemens.com/en-gb/products/tia-portal/step7/","Evidence / lead")</f>
        <v>Evidence / lead</v>
      </c>
      <c r="L172" s="6" t="str">
        <f aca="false">HYPERLINK("https://www.ptc.com/en/products/creo","Language source")</f>
        <v>Language source</v>
      </c>
    </row>
    <row r="173" customFormat="false" ht="23.85" hidden="false" customHeight="false" outlineLevel="0" collapsed="false">
      <c r="A173" s="5" t="s">
        <v>559</v>
      </c>
      <c r="B173" s="5" t="s">
        <v>581</v>
      </c>
      <c r="C173" s="5" t="s">
        <v>297</v>
      </c>
      <c r="D173" s="5" t="s">
        <v>582</v>
      </c>
      <c r="E173" s="5" t="s">
        <v>583</v>
      </c>
      <c r="F173" s="5" t="s">
        <v>242</v>
      </c>
      <c r="G173" s="5" t="s">
        <v>243</v>
      </c>
      <c r="H173" s="5" t="s">
        <v>22</v>
      </c>
      <c r="I173" s="5" t="s">
        <v>23</v>
      </c>
      <c r="J173" s="6" t="str">
        <f aca="false">HYPERLINK("https://www.ptc.com/en/products/onshape","Official site")</f>
        <v>Official site</v>
      </c>
      <c r="K173" s="6" t="str">
        <f aca="false">HYPERLINK("https://www.ptc.com/en/products/onshape","Evidence / lead")</f>
        <v>Evidence / lead</v>
      </c>
      <c r="L173" s="6" t="str">
        <f aca="false">HYPERLINK("https://www.ptc.com/en/products/creo","Language source")</f>
        <v>Language source</v>
      </c>
    </row>
    <row r="174" customFormat="false" ht="23.85" hidden="false" customHeight="false" outlineLevel="0" collapsed="false">
      <c r="A174" s="5" t="s">
        <v>559</v>
      </c>
      <c r="B174" s="5" t="s">
        <v>584</v>
      </c>
      <c r="C174" s="5" t="s">
        <v>48</v>
      </c>
      <c r="D174" s="5" t="s">
        <v>585</v>
      </c>
      <c r="E174" s="5" t="s">
        <v>586</v>
      </c>
      <c r="F174" s="5" t="s">
        <v>587</v>
      </c>
      <c r="G174" s="5" t="s">
        <v>58</v>
      </c>
      <c r="H174" s="5" t="s">
        <v>367</v>
      </c>
      <c r="I174" s="5" t="s">
        <v>23</v>
      </c>
      <c r="J174" s="6" t="str">
        <f aca="false">HYPERLINK("https://www.freecad.org/","Official site")</f>
        <v>Official site</v>
      </c>
      <c r="K174" s="6" t="str">
        <f aca="false">HYPERLINK("https://www.freecad.org/api/","Evidence / lead")</f>
        <v>Evidence / lead</v>
      </c>
      <c r="L174" s="6" t="str">
        <f aca="false">HYPERLINK("https://www.freecad.org/api/","Language source")</f>
        <v>Language source</v>
      </c>
    </row>
    <row r="175" customFormat="false" ht="23.85" hidden="false" customHeight="false" outlineLevel="0" collapsed="false">
      <c r="A175" s="5" t="s">
        <v>559</v>
      </c>
      <c r="B175" s="5" t="s">
        <v>588</v>
      </c>
      <c r="C175" s="5" t="s">
        <v>17</v>
      </c>
      <c r="D175" s="5" t="s">
        <v>589</v>
      </c>
      <c r="E175" s="5" t="s">
        <v>590</v>
      </c>
      <c r="F175" s="5" t="s">
        <v>242</v>
      </c>
      <c r="G175" s="5" t="s">
        <v>243</v>
      </c>
      <c r="H175" s="5" t="s">
        <v>22</v>
      </c>
      <c r="I175" s="5" t="s">
        <v>23</v>
      </c>
      <c r="J175" s="6" t="str">
        <f aca="false">HYPERLINK("https://www.rhino3d.com/","Official site")</f>
        <v>Official site</v>
      </c>
      <c r="K175" s="6" t="str">
        <f aca="false">HYPERLINK("https://www.rhino3d.com/","Evidence / lead")</f>
        <v>Evidence / lead</v>
      </c>
      <c r="L175" s="6" t="str">
        <f aca="false">HYPERLINK("https://www.ptc.com/en/products/creo","Language source")</f>
        <v>Language source</v>
      </c>
    </row>
    <row r="176" customFormat="false" ht="23.85" hidden="false" customHeight="false" outlineLevel="0" collapsed="false">
      <c r="A176" s="5" t="s">
        <v>591</v>
      </c>
      <c r="B176" s="5" t="s">
        <v>592</v>
      </c>
      <c r="C176" s="5" t="s">
        <v>17</v>
      </c>
      <c r="D176" s="5" t="s">
        <v>593</v>
      </c>
      <c r="E176" s="5" t="s">
        <v>594</v>
      </c>
      <c r="F176" s="5" t="s">
        <v>20</v>
      </c>
      <c r="G176" s="5" t="s">
        <v>21</v>
      </c>
      <c r="H176" s="5" t="s">
        <v>22</v>
      </c>
      <c r="I176" s="5" t="s">
        <v>23</v>
      </c>
      <c r="J176" s="6" t="str">
        <f aca="false">HYPERLINK("https://www.ansys.com/","Official site")</f>
        <v>Official site</v>
      </c>
      <c r="K176" s="6" t="str">
        <f aca="false">HYPERLINK("https://www.ansys.com/products/ansys-workbench","Evidence / lead")</f>
        <v>Evidence / lead</v>
      </c>
      <c r="L176" s="6" t="str">
        <f aca="false">HYPERLINK("https://www.ansys.com/products","Language source")</f>
        <v>Language source</v>
      </c>
    </row>
    <row r="177" customFormat="false" ht="23.85" hidden="false" customHeight="false" outlineLevel="0" collapsed="false">
      <c r="A177" s="5" t="s">
        <v>591</v>
      </c>
      <c r="B177" s="5" t="s">
        <v>595</v>
      </c>
      <c r="C177" s="5" t="s">
        <v>17</v>
      </c>
      <c r="D177" s="5" t="s">
        <v>596</v>
      </c>
      <c r="E177" s="5" t="s">
        <v>597</v>
      </c>
      <c r="F177" s="5" t="s">
        <v>598</v>
      </c>
      <c r="G177" s="5" t="s">
        <v>599</v>
      </c>
      <c r="H177" s="5" t="s">
        <v>600</v>
      </c>
      <c r="I177" s="5" t="s">
        <v>23</v>
      </c>
      <c r="J177" s="6" t="str">
        <f aca="false">HYPERLINK("https://www.3ds.com/products/simulia/abaqus","Official site")</f>
        <v>Official site</v>
      </c>
      <c r="K177" s="6" t="str">
        <f aca="false">HYPERLINK("https://www.3ds.com/support/hardware-and-software/simulia-systems-information","Evidence / lead")</f>
        <v>Evidence / lead</v>
      </c>
      <c r="L177" s="6" t="str">
        <f aca="false">HYPERLINK("https://docs.software.vt.edu/abaqusv2025/English/SIMACAESUBRefMap/simasub-c-subroutineover.htm","Language source")</f>
        <v>Language source</v>
      </c>
    </row>
    <row r="178" customFormat="false" ht="23.85" hidden="false" customHeight="false" outlineLevel="0" collapsed="false">
      <c r="A178" s="5" t="s">
        <v>591</v>
      </c>
      <c r="B178" s="5" t="s">
        <v>601</v>
      </c>
      <c r="C178" s="5" t="s">
        <v>17</v>
      </c>
      <c r="D178" s="5" t="s">
        <v>602</v>
      </c>
      <c r="E178" s="5" t="s">
        <v>603</v>
      </c>
      <c r="F178" s="5" t="s">
        <v>20</v>
      </c>
      <c r="G178" s="5" t="s">
        <v>21</v>
      </c>
      <c r="H178" s="5" t="s">
        <v>22</v>
      </c>
      <c r="I178" s="5" t="s">
        <v>23</v>
      </c>
      <c r="J178" s="6" t="str">
        <f aca="false">HYPERLINK("https://www.siemens.com/en-gb/products/simcenter/mechanical-simulation/nastran/","Official site")</f>
        <v>Official site</v>
      </c>
      <c r="K178" s="6" t="str">
        <f aca="false">HYPERLINK("https://www.siemens.com/en-gb/products/simcenter/mechanical-simulation/nastran/","Evidence / lead")</f>
        <v>Evidence / lead</v>
      </c>
      <c r="L178" s="6" t="str">
        <f aca="false">HYPERLINK("https://www.ansys.com/products","Language source")</f>
        <v>Language source</v>
      </c>
    </row>
    <row r="179" customFormat="false" ht="23.85" hidden="false" customHeight="false" outlineLevel="0" collapsed="false">
      <c r="A179" s="5" t="s">
        <v>591</v>
      </c>
      <c r="B179" s="5" t="s">
        <v>604</v>
      </c>
      <c r="C179" s="5" t="s">
        <v>17</v>
      </c>
      <c r="D179" s="5" t="s">
        <v>605</v>
      </c>
      <c r="E179" s="5" t="s">
        <v>606</v>
      </c>
      <c r="F179" s="5" t="s">
        <v>20</v>
      </c>
      <c r="G179" s="5" t="s">
        <v>21</v>
      </c>
      <c r="H179" s="5" t="s">
        <v>22</v>
      </c>
      <c r="I179" s="5" t="s">
        <v>23</v>
      </c>
      <c r="J179" s="6" t="str">
        <f aca="false">HYPERLINK("https://nexus.hexagon.com/home/product/category/software/","Official site")</f>
        <v>Official site</v>
      </c>
      <c r="K179" s="6" t="str">
        <f aca="false">HYPERLINK("https://nexus.hexagon.com/documentationcenter/en-US/bundle/MSC_Nastran_2025.1","Evidence / lead")</f>
        <v>Evidence / lead</v>
      </c>
      <c r="L179" s="6" t="str">
        <f aca="false">HYPERLINK("https://www.ansys.com/products","Language source")</f>
        <v>Language source</v>
      </c>
    </row>
    <row r="180" customFormat="false" ht="23.85" hidden="false" customHeight="false" outlineLevel="0" collapsed="false">
      <c r="A180" s="5" t="s">
        <v>591</v>
      </c>
      <c r="B180" s="5" t="s">
        <v>607</v>
      </c>
      <c r="C180" s="5" t="s">
        <v>17</v>
      </c>
      <c r="D180" s="5" t="s">
        <v>608</v>
      </c>
      <c r="E180" s="5" t="s">
        <v>609</v>
      </c>
      <c r="F180" s="5" t="s">
        <v>20</v>
      </c>
      <c r="G180" s="5" t="s">
        <v>21</v>
      </c>
      <c r="H180" s="5" t="s">
        <v>22</v>
      </c>
      <c r="I180" s="5" t="s">
        <v>37</v>
      </c>
      <c r="J180" s="6" t="str">
        <f aca="false">HYPERLINK("https://altair.com/optistruct","Official site")</f>
        <v>Official site</v>
      </c>
      <c r="K180" s="6" t="str">
        <f aca="false">HYPERLINK("https://altair.com/optistruct","Evidence / lead")</f>
        <v>Evidence / lead</v>
      </c>
      <c r="L180" s="6" t="str">
        <f aca="false">HYPERLINK("https://www.ansys.com/products","Language source")</f>
        <v>Language source</v>
      </c>
    </row>
    <row r="181" customFormat="false" ht="23.85" hidden="false" customHeight="false" outlineLevel="0" collapsed="false">
      <c r="A181" s="5" t="s">
        <v>591</v>
      </c>
      <c r="B181" s="5" t="s">
        <v>610</v>
      </c>
      <c r="C181" s="5" t="s">
        <v>17</v>
      </c>
      <c r="D181" s="5" t="s">
        <v>611</v>
      </c>
      <c r="E181" s="5" t="s">
        <v>612</v>
      </c>
      <c r="F181" s="5" t="s">
        <v>20</v>
      </c>
      <c r="G181" s="5" t="s">
        <v>21</v>
      </c>
      <c r="H181" s="5" t="s">
        <v>22</v>
      </c>
      <c r="I181" s="5" t="s">
        <v>23</v>
      </c>
      <c r="J181" s="6" t="str">
        <f aca="false">HYPERLINK("https://www.ansys.com/","Official site")</f>
        <v>Official site</v>
      </c>
      <c r="K181" s="6" t="str">
        <f aca="false">HYPERLINK("https://www.ansys.com/products/ansys-workbench","Evidence / lead")</f>
        <v>Evidence / lead</v>
      </c>
      <c r="L181" s="6" t="str">
        <f aca="false">HYPERLINK("https://www.ansys.com/products","Language source")</f>
        <v>Language source</v>
      </c>
    </row>
    <row r="182" customFormat="false" ht="23.85" hidden="false" customHeight="false" outlineLevel="0" collapsed="false">
      <c r="A182" s="5" t="s">
        <v>591</v>
      </c>
      <c r="B182" s="5" t="s">
        <v>613</v>
      </c>
      <c r="C182" s="5" t="s">
        <v>17</v>
      </c>
      <c r="D182" s="5" t="s">
        <v>614</v>
      </c>
      <c r="E182" s="5" t="s">
        <v>615</v>
      </c>
      <c r="F182" s="5" t="s">
        <v>20</v>
      </c>
      <c r="G182" s="5" t="s">
        <v>21</v>
      </c>
      <c r="H182" s="5" t="s">
        <v>22</v>
      </c>
      <c r="I182" s="5" t="s">
        <v>23</v>
      </c>
      <c r="J182" s="6" t="str">
        <f aca="false">HYPERLINK("https://www.comsol.com/products","Official site")</f>
        <v>Official site</v>
      </c>
      <c r="K182" s="6" t="str">
        <f aca="false">HYPERLINK("https://www.comsol.com/products","Evidence / lead")</f>
        <v>Evidence / lead</v>
      </c>
      <c r="L182" s="6" t="str">
        <f aca="false">HYPERLINK("https://www.ansys.com/products","Language source")</f>
        <v>Language source</v>
      </c>
    </row>
    <row r="183" customFormat="false" ht="23.85" hidden="false" customHeight="false" outlineLevel="0" collapsed="false">
      <c r="A183" s="5" t="s">
        <v>591</v>
      </c>
      <c r="B183" s="5" t="s">
        <v>616</v>
      </c>
      <c r="C183" s="5" t="s">
        <v>17</v>
      </c>
      <c r="D183" s="5" t="s">
        <v>617</v>
      </c>
      <c r="E183" s="5" t="s">
        <v>618</v>
      </c>
      <c r="F183" s="5" t="s">
        <v>20</v>
      </c>
      <c r="G183" s="5" t="s">
        <v>21</v>
      </c>
      <c r="H183" s="5" t="s">
        <v>22</v>
      </c>
      <c r="I183" s="5" t="s">
        <v>23</v>
      </c>
      <c r="J183" s="6" t="str">
        <f aca="false">HYPERLINK("https://www.solidworks.com/","Official site")</f>
        <v>Official site</v>
      </c>
      <c r="K183" s="6" t="str">
        <f aca="false">HYPERLINK("https://www.solidworks.com/","Evidence / lead")</f>
        <v>Evidence / lead</v>
      </c>
      <c r="L183" s="6" t="str">
        <f aca="false">HYPERLINK("https://www.ansys.com/products","Language source")</f>
        <v>Language source</v>
      </c>
    </row>
    <row r="184" customFormat="false" ht="23.85" hidden="false" customHeight="false" outlineLevel="0" collapsed="false">
      <c r="A184" s="5" t="s">
        <v>591</v>
      </c>
      <c r="B184" s="5" t="s">
        <v>619</v>
      </c>
      <c r="C184" s="5" t="s">
        <v>48</v>
      </c>
      <c r="D184" s="5" t="s">
        <v>620</v>
      </c>
      <c r="E184" s="5" t="s">
        <v>621</v>
      </c>
      <c r="F184" s="5" t="s">
        <v>151</v>
      </c>
      <c r="G184" s="5" t="s">
        <v>152</v>
      </c>
      <c r="H184" s="5" t="s">
        <v>153</v>
      </c>
      <c r="I184" s="5" t="s">
        <v>23</v>
      </c>
      <c r="J184" s="6" t="str">
        <f aca="false">HYPERLINK("https://www.calculix.de/","Official site")</f>
        <v>Official site</v>
      </c>
      <c r="K184" s="6" t="str">
        <f aca="false">HYPERLINK("https://www.calculix.de/","Evidence / lead")</f>
        <v>Evidence / lead</v>
      </c>
      <c r="L184" s="6" t="str">
        <f aca="false">HYPERLINK("https://www.calculix.de/","Language source")</f>
        <v>Language source</v>
      </c>
    </row>
    <row r="185" customFormat="false" ht="23.85" hidden="false" customHeight="false" outlineLevel="0" collapsed="false">
      <c r="A185" s="5" t="s">
        <v>591</v>
      </c>
      <c r="B185" s="5" t="s">
        <v>622</v>
      </c>
      <c r="C185" s="5" t="s">
        <v>48</v>
      </c>
      <c r="D185" s="5" t="s">
        <v>623</v>
      </c>
      <c r="E185" s="5" t="s">
        <v>624</v>
      </c>
      <c r="F185" s="5" t="s">
        <v>151</v>
      </c>
      <c r="G185" s="5" t="s">
        <v>152</v>
      </c>
      <c r="H185" s="5" t="s">
        <v>153</v>
      </c>
      <c r="I185" s="5" t="s">
        <v>23</v>
      </c>
      <c r="J185" s="6" t="str">
        <f aca="false">HYPERLINK("https://www.code-aster.org/","Official site")</f>
        <v>Official site</v>
      </c>
      <c r="K185" s="6" t="str">
        <f aca="false">HYPERLINK("https://code-aster.org/doc/v17/manuals/man_d/d9/d9.02.01/Le_catalogue_g_n_ral_des_commandes_de_Code_Aster.html","Evidence / lead")</f>
        <v>Evidence / lead</v>
      </c>
      <c r="L185" s="6" t="str">
        <f aca="false">HYPERLINK("https://www.code-aster.org/","Language source")</f>
        <v>Language source</v>
      </c>
    </row>
    <row r="186" customFormat="false" ht="23.85" hidden="false" customHeight="false" outlineLevel="0" collapsed="false">
      <c r="A186" s="5" t="s">
        <v>625</v>
      </c>
      <c r="B186" s="5" t="s">
        <v>626</v>
      </c>
      <c r="C186" s="5" t="s">
        <v>17</v>
      </c>
      <c r="D186" s="5" t="s">
        <v>627</v>
      </c>
      <c r="E186" s="5" t="s">
        <v>628</v>
      </c>
      <c r="F186" s="5" t="s">
        <v>629</v>
      </c>
      <c r="G186" s="5" t="s">
        <v>630</v>
      </c>
      <c r="H186" s="5" t="s">
        <v>631</v>
      </c>
      <c r="I186" s="5" t="s">
        <v>23</v>
      </c>
      <c r="J186" s="6" t="str">
        <f aca="false">HYPERLINK("https://www.ansys.com/","Official site")</f>
        <v>Official site</v>
      </c>
      <c r="K186" s="6" t="str">
        <f aca="false">HYPERLINK("https://www.ansys.com/products/ansys-workbench","Evidence / lead")</f>
        <v>Evidence / lead</v>
      </c>
      <c r="L186" s="6" t="str">
        <f aca="false">HYPERLINK("https://ansyshelp.ansys.com/public/Views/Secured/corp/v242/en/flu_udf/flu_udf_WhatIsAUDF.html","Language source")</f>
        <v>Language source</v>
      </c>
    </row>
    <row r="187" customFormat="false" ht="23.85" hidden="false" customHeight="false" outlineLevel="0" collapsed="false">
      <c r="A187" s="5" t="s">
        <v>625</v>
      </c>
      <c r="B187" s="5" t="s">
        <v>632</v>
      </c>
      <c r="C187" s="5" t="s">
        <v>17</v>
      </c>
      <c r="D187" s="5" t="s">
        <v>633</v>
      </c>
      <c r="E187" s="5" t="s">
        <v>634</v>
      </c>
      <c r="F187" s="5" t="s">
        <v>20</v>
      </c>
      <c r="G187" s="5" t="s">
        <v>21</v>
      </c>
      <c r="H187" s="5" t="s">
        <v>22</v>
      </c>
      <c r="I187" s="5" t="s">
        <v>23</v>
      </c>
      <c r="J187" s="6" t="str">
        <f aca="false">HYPERLINK("https://www.siemens.com/en-us/products/simcenter/","Official site")</f>
        <v>Official site</v>
      </c>
      <c r="K187" s="6" t="str">
        <f aca="false">HYPERLINK("https://www.siemens.com/en-us/products/simcenter/simcenter-x/advanced/","Evidence / lead")</f>
        <v>Evidence / lead</v>
      </c>
      <c r="L187" s="6" t="str">
        <f aca="false">HYPERLINK("https://www.ansys.com/products","Language source")</f>
        <v>Language source</v>
      </c>
    </row>
    <row r="188" customFormat="false" ht="23.85" hidden="false" customHeight="false" outlineLevel="0" collapsed="false">
      <c r="A188" s="5" t="s">
        <v>625</v>
      </c>
      <c r="B188" s="5" t="s">
        <v>635</v>
      </c>
      <c r="C188" s="5" t="s">
        <v>17</v>
      </c>
      <c r="D188" s="5" t="s">
        <v>636</v>
      </c>
      <c r="E188" s="5" t="s">
        <v>637</v>
      </c>
      <c r="F188" s="5" t="s">
        <v>20</v>
      </c>
      <c r="G188" s="5" t="s">
        <v>21</v>
      </c>
      <c r="H188" s="5" t="s">
        <v>22</v>
      </c>
      <c r="I188" s="5" t="s">
        <v>23</v>
      </c>
      <c r="J188" s="6" t="str">
        <f aca="false">HYPERLINK("https://www.ansys.com/","Official site")</f>
        <v>Official site</v>
      </c>
      <c r="K188" s="6" t="str">
        <f aca="false">HYPERLINK("https://www.ansys.com/products/ansys-workbench","Evidence / lead")</f>
        <v>Evidence / lead</v>
      </c>
      <c r="L188" s="6" t="str">
        <f aca="false">HYPERLINK("https://www.ansys.com/products","Language source")</f>
        <v>Language source</v>
      </c>
    </row>
    <row r="189" customFormat="false" ht="23.85" hidden="false" customHeight="false" outlineLevel="0" collapsed="false">
      <c r="A189" s="5" t="s">
        <v>625</v>
      </c>
      <c r="B189" s="5" t="s">
        <v>638</v>
      </c>
      <c r="C189" s="5" t="s">
        <v>17</v>
      </c>
      <c r="D189" s="5" t="s">
        <v>639</v>
      </c>
      <c r="E189" s="5" t="s">
        <v>640</v>
      </c>
      <c r="F189" s="5" t="s">
        <v>20</v>
      </c>
      <c r="G189" s="5" t="s">
        <v>21</v>
      </c>
      <c r="H189" s="5" t="s">
        <v>22</v>
      </c>
      <c r="I189" s="5" t="s">
        <v>23</v>
      </c>
      <c r="J189" s="6" t="str">
        <f aca="false">HYPERLINK("https://www.cadence.com/","Official site")</f>
        <v>Official site</v>
      </c>
      <c r="K189" s="6" t="str">
        <f aca="false">HYPERLINK("https://www.cadence.com/Products_Nominal-Circuit-Analysis","Evidence / lead")</f>
        <v>Evidence / lead</v>
      </c>
      <c r="L189" s="6" t="str">
        <f aca="false">HYPERLINK("https://www.ansys.com/products","Language source")</f>
        <v>Language source</v>
      </c>
    </row>
    <row r="190" customFormat="false" ht="23.85" hidden="false" customHeight="false" outlineLevel="0" collapsed="false">
      <c r="A190" s="5" t="s">
        <v>625</v>
      </c>
      <c r="B190" s="5" t="s">
        <v>641</v>
      </c>
      <c r="C190" s="5" t="s">
        <v>17</v>
      </c>
      <c r="D190" s="5" t="s">
        <v>642</v>
      </c>
      <c r="E190" s="5" t="s">
        <v>643</v>
      </c>
      <c r="F190" s="5" t="s">
        <v>20</v>
      </c>
      <c r="G190" s="5" t="s">
        <v>21</v>
      </c>
      <c r="H190" s="5" t="s">
        <v>22</v>
      </c>
      <c r="I190" s="5" t="s">
        <v>23</v>
      </c>
      <c r="J190" s="6" t="str">
        <f aca="false">HYPERLINK("https://www.comsol.com/products","Official site")</f>
        <v>Official site</v>
      </c>
      <c r="K190" s="6" t="str">
        <f aca="false">HYPERLINK("https://www.comsol.com/products","Evidence / lead")</f>
        <v>Evidence / lead</v>
      </c>
      <c r="L190" s="6" t="str">
        <f aca="false">HYPERLINK("https://www.ansys.com/products","Language source")</f>
        <v>Language source</v>
      </c>
    </row>
    <row r="191" customFormat="false" ht="23.85" hidden="false" customHeight="false" outlineLevel="0" collapsed="false">
      <c r="A191" s="5" t="s">
        <v>625</v>
      </c>
      <c r="B191" s="5" t="s">
        <v>644</v>
      </c>
      <c r="C191" s="5" t="s">
        <v>17</v>
      </c>
      <c r="D191" s="5" t="s">
        <v>645</v>
      </c>
      <c r="E191" s="5" t="s">
        <v>646</v>
      </c>
      <c r="F191" s="5" t="s">
        <v>20</v>
      </c>
      <c r="G191" s="5" t="s">
        <v>21</v>
      </c>
      <c r="H191" s="5" t="s">
        <v>22</v>
      </c>
      <c r="I191" s="5" t="s">
        <v>23</v>
      </c>
      <c r="J191" s="6" t="str">
        <f aca="false">HYPERLINK("https://help.altair.com/hwsolvers/altair_help/index.htm","Official site")</f>
        <v>Official site</v>
      </c>
      <c r="K191" s="6" t="str">
        <f aca="false">HYPERLINK("https://help.altair.com/hwsolvers/altair_help/index.htm","Evidence / lead")</f>
        <v>Evidence / lead</v>
      </c>
      <c r="L191" s="6" t="str">
        <f aca="false">HYPERLINK("https://www.ansys.com/products","Language source")</f>
        <v>Language source</v>
      </c>
    </row>
    <row r="192" customFormat="false" ht="23.85" hidden="false" customHeight="false" outlineLevel="0" collapsed="false">
      <c r="A192" s="5" t="s">
        <v>625</v>
      </c>
      <c r="B192" s="5" t="s">
        <v>647</v>
      </c>
      <c r="C192" s="5" t="s">
        <v>297</v>
      </c>
      <c r="D192" s="5" t="s">
        <v>648</v>
      </c>
      <c r="E192" s="5" t="s">
        <v>649</v>
      </c>
      <c r="F192" s="5" t="s">
        <v>20</v>
      </c>
      <c r="G192" s="5" t="s">
        <v>21</v>
      </c>
      <c r="H192" s="5" t="s">
        <v>22</v>
      </c>
      <c r="I192" s="5" t="s">
        <v>23</v>
      </c>
      <c r="J192" s="6" t="str">
        <f aca="false">HYPERLINK("https://www.simscale.com/","Official site")</f>
        <v>Official site</v>
      </c>
      <c r="K192" s="6" t="str">
        <f aca="false">HYPERLINK("https://www.simscale.com/","Evidence / lead")</f>
        <v>Evidence / lead</v>
      </c>
      <c r="L192" s="6" t="str">
        <f aca="false">HYPERLINK("https://www.ansys.com/products","Language source")</f>
        <v>Language source</v>
      </c>
    </row>
    <row r="193" customFormat="false" ht="23.85" hidden="false" customHeight="false" outlineLevel="0" collapsed="false">
      <c r="A193" s="5" t="s">
        <v>625</v>
      </c>
      <c r="B193" s="5" t="s">
        <v>650</v>
      </c>
      <c r="C193" s="5" t="s">
        <v>48</v>
      </c>
      <c r="D193" s="5" t="s">
        <v>651</v>
      </c>
      <c r="E193" s="5" t="s">
        <v>652</v>
      </c>
      <c r="F193" s="5" t="s">
        <v>653</v>
      </c>
      <c r="G193" s="5" t="s">
        <v>654</v>
      </c>
      <c r="H193" s="5" t="s">
        <v>367</v>
      </c>
      <c r="I193" s="5" t="s">
        <v>23</v>
      </c>
      <c r="J193" s="6" t="str">
        <f aca="false">HYPERLINK("https://openfoam.org/","Official site")</f>
        <v>Official site</v>
      </c>
      <c r="K193" s="6" t="str">
        <f aca="false">HYPERLINK("https://openfoam.org/resources/","Evidence / lead")</f>
        <v>Evidence / lead</v>
      </c>
      <c r="L193" s="6" t="str">
        <f aca="false">HYPERLINK("https://openfoam.org/resources/","Language source")</f>
        <v>Language source</v>
      </c>
    </row>
    <row r="194" customFormat="false" ht="23.85" hidden="false" customHeight="false" outlineLevel="0" collapsed="false">
      <c r="A194" s="5" t="s">
        <v>625</v>
      </c>
      <c r="B194" s="5" t="s">
        <v>655</v>
      </c>
      <c r="C194" s="5" t="s">
        <v>48</v>
      </c>
      <c r="D194" s="5" t="s">
        <v>656</v>
      </c>
      <c r="E194" s="5" t="s">
        <v>657</v>
      </c>
      <c r="F194" s="5" t="s">
        <v>151</v>
      </c>
      <c r="G194" s="5" t="s">
        <v>152</v>
      </c>
      <c r="H194" s="5" t="s">
        <v>153</v>
      </c>
      <c r="I194" s="5" t="s">
        <v>23</v>
      </c>
      <c r="J194" s="6" t="str">
        <f aca="false">HYPERLINK("https://su2code.github.io/","Official site")</f>
        <v>Official site</v>
      </c>
      <c r="K194" s="6" t="str">
        <f aca="false">HYPERLINK("https://su2code.github.io/","Evidence / lead")</f>
        <v>Evidence / lead</v>
      </c>
      <c r="L194" s="6" t="str">
        <f aca="false">HYPERLINK("https://su2code.github.io/","Language source")</f>
        <v>Language source</v>
      </c>
    </row>
    <row r="195" customFormat="false" ht="23.85" hidden="false" customHeight="false" outlineLevel="0" collapsed="false">
      <c r="A195" s="5" t="s">
        <v>625</v>
      </c>
      <c r="B195" s="5" t="s">
        <v>658</v>
      </c>
      <c r="C195" s="5" t="s">
        <v>48</v>
      </c>
      <c r="D195" s="5" t="s">
        <v>659</v>
      </c>
      <c r="E195" s="5" t="s">
        <v>660</v>
      </c>
      <c r="F195" s="5" t="s">
        <v>151</v>
      </c>
      <c r="G195" s="5" t="s">
        <v>152</v>
      </c>
      <c r="H195" s="5" t="s">
        <v>153</v>
      </c>
      <c r="I195" s="5" t="s">
        <v>23</v>
      </c>
      <c r="J195" s="6" t="str">
        <f aca="false">HYPERLINK("https://www.code-saturne.org/","Official site")</f>
        <v>Official site</v>
      </c>
      <c r="K195" s="6" t="str">
        <f aca="false">HYPERLINK("https://www.code-saturne.org/","Evidence / lead")</f>
        <v>Evidence / lead</v>
      </c>
      <c r="L195" s="6" t="str">
        <f aca="false">HYPERLINK("https://www.code-saturne.org/","Language source")</f>
        <v>Language source</v>
      </c>
    </row>
    <row r="196" customFormat="false" ht="23.85" hidden="false" customHeight="false" outlineLevel="0" collapsed="false">
      <c r="A196" s="5" t="s">
        <v>661</v>
      </c>
      <c r="B196" s="5" t="s">
        <v>662</v>
      </c>
      <c r="C196" s="5" t="s">
        <v>17</v>
      </c>
      <c r="D196" s="5" t="s">
        <v>663</v>
      </c>
      <c r="E196" s="5" t="s">
        <v>664</v>
      </c>
      <c r="F196" s="5" t="s">
        <v>20</v>
      </c>
      <c r="G196" s="5" t="s">
        <v>21</v>
      </c>
      <c r="H196" s="5" t="s">
        <v>22</v>
      </c>
      <c r="I196" s="5" t="s">
        <v>23</v>
      </c>
      <c r="J196" s="6" t="str">
        <f aca="false">HYPERLINK("https://www.iesve.com/","Official site")</f>
        <v>Official site</v>
      </c>
      <c r="K196" s="6" t="str">
        <f aca="false">HYPERLINK("https://www.iesve.com/software/building-energy-modeling","Evidence / lead")</f>
        <v>Evidence / lead</v>
      </c>
      <c r="L196" s="6" t="str">
        <f aca="false">HYPERLINK("https://www.ansys.com/products","Language source")</f>
        <v>Language source</v>
      </c>
    </row>
    <row r="197" customFormat="false" ht="23.85" hidden="false" customHeight="false" outlineLevel="0" collapsed="false">
      <c r="A197" s="5" t="s">
        <v>661</v>
      </c>
      <c r="B197" s="5" t="s">
        <v>665</v>
      </c>
      <c r="C197" s="5" t="s">
        <v>17</v>
      </c>
      <c r="D197" s="5" t="s">
        <v>666</v>
      </c>
      <c r="E197" s="5" t="s">
        <v>667</v>
      </c>
      <c r="F197" s="5" t="s">
        <v>20</v>
      </c>
      <c r="G197" s="5" t="s">
        <v>21</v>
      </c>
      <c r="H197" s="5" t="s">
        <v>22</v>
      </c>
      <c r="I197" s="5" t="s">
        <v>23</v>
      </c>
      <c r="J197" s="6" t="str">
        <f aca="false">HYPERLINK("https://designbuilder.co.uk/","Official site")</f>
        <v>Official site</v>
      </c>
      <c r="K197" s="6" t="str">
        <f aca="false">HYPERLINK("https://designbuilder.co.uk/","Evidence / lead")</f>
        <v>Evidence / lead</v>
      </c>
      <c r="L197" s="6" t="str">
        <f aca="false">HYPERLINK("https://www.ansys.com/products","Language source")</f>
        <v>Language source</v>
      </c>
    </row>
    <row r="198" customFormat="false" ht="23.85" hidden="false" customHeight="false" outlineLevel="0" collapsed="false">
      <c r="A198" s="5" t="s">
        <v>661</v>
      </c>
      <c r="B198" s="5" t="s">
        <v>668</v>
      </c>
      <c r="C198" s="5" t="s">
        <v>17</v>
      </c>
      <c r="D198" s="5" t="s">
        <v>669</v>
      </c>
      <c r="E198" s="5" t="s">
        <v>670</v>
      </c>
      <c r="F198" s="5" t="s">
        <v>20</v>
      </c>
      <c r="G198" s="5" t="s">
        <v>21</v>
      </c>
      <c r="H198" s="5" t="s">
        <v>22</v>
      </c>
      <c r="I198" s="5" t="s">
        <v>23</v>
      </c>
      <c r="J198" s="6" t="str">
        <f aca="false">HYPERLINK("https://www.trane.com/","Official site")</f>
        <v>Official site</v>
      </c>
      <c r="K198" s="6" t="str">
        <f aca="false">HYPERLINK("https://www.trane.com/","Evidence / lead")</f>
        <v>Evidence / lead</v>
      </c>
      <c r="L198" s="6" t="str">
        <f aca="false">HYPERLINK("https://www.ansys.com/products","Language source")</f>
        <v>Language source</v>
      </c>
    </row>
    <row r="199" customFormat="false" ht="23.85" hidden="false" customHeight="false" outlineLevel="0" collapsed="false">
      <c r="A199" s="5" t="s">
        <v>661</v>
      </c>
      <c r="B199" s="5" t="s">
        <v>671</v>
      </c>
      <c r="C199" s="5" t="s">
        <v>17</v>
      </c>
      <c r="D199" s="5" t="s">
        <v>672</v>
      </c>
      <c r="E199" s="5" t="s">
        <v>673</v>
      </c>
      <c r="F199" s="5" t="s">
        <v>20</v>
      </c>
      <c r="G199" s="5" t="s">
        <v>21</v>
      </c>
      <c r="H199" s="5" t="s">
        <v>22</v>
      </c>
      <c r="I199" s="5" t="s">
        <v>23</v>
      </c>
      <c r="J199" s="6" t="str">
        <f aca="false">HYPERLINK("https://www.carrier.com/us/en/commercial/software/hvac-system-design/hourly-analysis-program/","Official site")</f>
        <v>Official site</v>
      </c>
      <c r="K199" s="6" t="str">
        <f aca="false">HYPERLINK("https://www.carrier.com/us/en/commercial/software/hvac-system-design/hourly-analysis-program/","Evidence / lead")</f>
        <v>Evidence / lead</v>
      </c>
      <c r="L199" s="6" t="str">
        <f aca="false">HYPERLINK("https://www.ansys.com/products","Language source")</f>
        <v>Language source</v>
      </c>
    </row>
    <row r="200" customFormat="false" ht="15" hidden="false" customHeight="false" outlineLevel="0" collapsed="false">
      <c r="A200" s="5" t="s">
        <v>661</v>
      </c>
      <c r="B200" s="5" t="s">
        <v>674</v>
      </c>
      <c r="C200" s="5" t="s">
        <v>48</v>
      </c>
      <c r="D200" s="5" t="s">
        <v>675</v>
      </c>
      <c r="E200" s="5" t="s">
        <v>676</v>
      </c>
      <c r="F200" s="5" t="s">
        <v>677</v>
      </c>
      <c r="G200" s="5" t="s">
        <v>678</v>
      </c>
      <c r="H200" s="5" t="s">
        <v>679</v>
      </c>
      <c r="I200" s="5" t="s">
        <v>23</v>
      </c>
      <c r="J200" s="6" t="str">
        <f aca="false">HYPERLINK("https://github.com/NREL/EnergyPlus","Official site")</f>
        <v>Official site</v>
      </c>
      <c r="K200" s="6" t="str">
        <f aca="false">HYPERLINK("https://github.com/NREL/EnergyPlus","Evidence / lead")</f>
        <v>Evidence / lead</v>
      </c>
      <c r="L200" s="6" t="str">
        <f aca="false">HYPERLINK("https://github.com/NatLabRockies/EnergyPlus","Language source")</f>
        <v>Language source</v>
      </c>
    </row>
    <row r="201" customFormat="false" ht="23.85" hidden="false" customHeight="false" outlineLevel="0" collapsed="false">
      <c r="A201" s="5" t="s">
        <v>661</v>
      </c>
      <c r="B201" s="5" t="s">
        <v>680</v>
      </c>
      <c r="C201" s="5" t="s">
        <v>48</v>
      </c>
      <c r="D201" s="5" t="s">
        <v>681</v>
      </c>
      <c r="E201" s="5" t="s">
        <v>682</v>
      </c>
      <c r="F201" s="5" t="s">
        <v>151</v>
      </c>
      <c r="G201" s="5" t="s">
        <v>152</v>
      </c>
      <c r="H201" s="5" t="s">
        <v>153</v>
      </c>
      <c r="I201" s="5" t="s">
        <v>23</v>
      </c>
      <c r="J201" s="6" t="str">
        <f aca="false">HYPERLINK("https://www.openstudio.net/","Official site")</f>
        <v>Official site</v>
      </c>
      <c r="K201" s="6" t="str">
        <f aca="false">HYPERLINK("https://www.openstudio.net/","Evidence / lead")</f>
        <v>Evidence / lead</v>
      </c>
      <c r="L201" s="6" t="str">
        <f aca="false">HYPERLINK("https://www.openstudio.net/","Language source")</f>
        <v>Language source</v>
      </c>
    </row>
    <row r="202" customFormat="false" ht="23.85" hidden="false" customHeight="false" outlineLevel="0" collapsed="false">
      <c r="A202" s="5" t="s">
        <v>661</v>
      </c>
      <c r="B202" s="5" t="s">
        <v>683</v>
      </c>
      <c r="C202" s="5" t="s">
        <v>17</v>
      </c>
      <c r="D202" s="5" t="s">
        <v>684</v>
      </c>
      <c r="E202" s="5" t="s">
        <v>685</v>
      </c>
      <c r="F202" s="5" t="s">
        <v>20</v>
      </c>
      <c r="G202" s="5" t="s">
        <v>21</v>
      </c>
      <c r="H202" s="5" t="s">
        <v>22</v>
      </c>
      <c r="I202" s="5" t="s">
        <v>23</v>
      </c>
      <c r="J202" s="6" t="str">
        <f aca="false">HYPERLINK("https://www.trnsys.com/","Official site")</f>
        <v>Official site</v>
      </c>
      <c r="K202" s="6" t="str">
        <f aca="false">HYPERLINK("https://www.trnsys.com/","Evidence / lead")</f>
        <v>Evidence / lead</v>
      </c>
      <c r="L202" s="6" t="str">
        <f aca="false">HYPERLINK("https://www.ansys.com/products","Language source")</f>
        <v>Language source</v>
      </c>
    </row>
    <row r="203" customFormat="false" ht="23.85" hidden="false" customHeight="false" outlineLevel="0" collapsed="false">
      <c r="A203" s="5" t="s">
        <v>661</v>
      </c>
      <c r="B203" s="5" t="s">
        <v>686</v>
      </c>
      <c r="C203" s="5" t="s">
        <v>17</v>
      </c>
      <c r="D203" s="5" t="s">
        <v>687</v>
      </c>
      <c r="E203" s="5" t="s">
        <v>688</v>
      </c>
      <c r="F203" s="5" t="s">
        <v>20</v>
      </c>
      <c r="G203" s="5" t="s">
        <v>21</v>
      </c>
      <c r="H203" s="5" t="s">
        <v>22</v>
      </c>
      <c r="I203" s="5" t="s">
        <v>23</v>
      </c>
      <c r="J203" s="6" t="str">
        <f aca="false">HYPERLINK("https://www.ansys.com/","Official site")</f>
        <v>Official site</v>
      </c>
      <c r="K203" s="6" t="str">
        <f aca="false">HYPERLINK("https://www.ansys.com/content/ansysincprogram/en-us/home/products/electronics/ansys-icepak.html","Evidence / lead")</f>
        <v>Evidence / lead</v>
      </c>
      <c r="L203" s="6" t="str">
        <f aca="false">HYPERLINK("https://www.ansys.com/products","Language source")</f>
        <v>Language source</v>
      </c>
    </row>
    <row r="204" customFormat="false" ht="23.85" hidden="false" customHeight="false" outlineLevel="0" collapsed="false">
      <c r="A204" s="5" t="s">
        <v>661</v>
      </c>
      <c r="B204" s="5" t="s">
        <v>689</v>
      </c>
      <c r="C204" s="5" t="s">
        <v>17</v>
      </c>
      <c r="D204" s="5" t="s">
        <v>690</v>
      </c>
      <c r="E204" s="5" t="s">
        <v>691</v>
      </c>
      <c r="F204" s="5" t="s">
        <v>20</v>
      </c>
      <c r="G204" s="5" t="s">
        <v>21</v>
      </c>
      <c r="H204" s="5" t="s">
        <v>22</v>
      </c>
      <c r="I204" s="5" t="s">
        <v>23</v>
      </c>
      <c r="J204" s="6" t="str">
        <f aca="false">HYPERLINK("https://www.siemens.com/","Official site")</f>
        <v>Official site</v>
      </c>
      <c r="K204" s="6" t="str">
        <f aca="false">HYPERLINK("https://www.siemens.com/en-us/products/simcenter/simcenter-x/advanced/","Evidence / lead")</f>
        <v>Evidence / lead</v>
      </c>
      <c r="L204" s="6" t="str">
        <f aca="false">HYPERLINK("https://www.ansys.com/products","Language source")</f>
        <v>Language source</v>
      </c>
    </row>
    <row r="205" customFormat="false" ht="23.85" hidden="false" customHeight="false" outlineLevel="0" collapsed="false">
      <c r="A205" s="5" t="s">
        <v>661</v>
      </c>
      <c r="B205" s="5" t="s">
        <v>692</v>
      </c>
      <c r="C205" s="5" t="s">
        <v>17</v>
      </c>
      <c r="D205" s="5" t="s">
        <v>693</v>
      </c>
      <c r="E205" s="5" t="s">
        <v>694</v>
      </c>
      <c r="F205" s="5" t="s">
        <v>20</v>
      </c>
      <c r="G205" s="5" t="s">
        <v>21</v>
      </c>
      <c r="H205" s="5" t="s">
        <v>22</v>
      </c>
      <c r="I205" s="5" t="s">
        <v>23</v>
      </c>
      <c r="J205" s="6" t="str">
        <f aca="false">HYPERLINK("https://www.comsol.com/products","Official site")</f>
        <v>Official site</v>
      </c>
      <c r="K205" s="6" t="str">
        <f aca="false">HYPERLINK("https://www.comsol.com/products","Evidence / lead")</f>
        <v>Evidence / lead</v>
      </c>
      <c r="L205" s="6" t="str">
        <f aca="false">HYPERLINK("https://www.ansys.com/products","Language source")</f>
        <v>Language source</v>
      </c>
    </row>
    <row r="206" customFormat="false" ht="23.85" hidden="false" customHeight="false" outlineLevel="0" collapsed="false">
      <c r="A206" s="5" t="s">
        <v>695</v>
      </c>
      <c r="B206" s="5" t="s">
        <v>696</v>
      </c>
      <c r="C206" s="5" t="s">
        <v>17</v>
      </c>
      <c r="D206" s="5" t="s">
        <v>697</v>
      </c>
      <c r="E206" s="5" t="s">
        <v>698</v>
      </c>
      <c r="F206" s="5" t="s">
        <v>20</v>
      </c>
      <c r="G206" s="5" t="s">
        <v>21</v>
      </c>
      <c r="H206" s="5" t="s">
        <v>22</v>
      </c>
      <c r="I206" s="5" t="s">
        <v>23</v>
      </c>
      <c r="J206" s="6" t="str">
        <f aca="false">HYPERLINK("https://nexus.hexagon.com/home/product/adams/","Official site")</f>
        <v>Official site</v>
      </c>
      <c r="K206" s="6" t="str">
        <f aca="false">HYPERLINK("https://nexus.hexagon.com/home/product/adams/","Evidence / lead")</f>
        <v>Evidence / lead</v>
      </c>
      <c r="L206" s="6" t="str">
        <f aca="false">HYPERLINK("https://www.ansys.com/products","Language source")</f>
        <v>Language source</v>
      </c>
    </row>
    <row r="207" customFormat="false" ht="23.85" hidden="false" customHeight="false" outlineLevel="0" collapsed="false">
      <c r="A207" s="5" t="s">
        <v>695</v>
      </c>
      <c r="B207" s="5" t="s">
        <v>699</v>
      </c>
      <c r="C207" s="5" t="s">
        <v>17</v>
      </c>
      <c r="D207" s="5" t="s">
        <v>700</v>
      </c>
      <c r="E207" s="5" t="s">
        <v>701</v>
      </c>
      <c r="F207" s="5" t="s">
        <v>20</v>
      </c>
      <c r="G207" s="5" t="s">
        <v>21</v>
      </c>
      <c r="H207" s="5" t="s">
        <v>22</v>
      </c>
      <c r="I207" s="5" t="s">
        <v>23</v>
      </c>
      <c r="J207" s="6" t="str">
        <f aca="false">HYPERLINK("https://www.3ds.com/","Official site")</f>
        <v>Official site</v>
      </c>
      <c r="K207" s="6" t="str">
        <f aca="false">HYPERLINK("https://www.3ds.com/support/hardware-and-software/simulia-systems-information","Evidence / lead")</f>
        <v>Evidence / lead</v>
      </c>
      <c r="L207" s="6" t="str">
        <f aca="false">HYPERLINK("https://www.ansys.com/products","Language source")</f>
        <v>Language source</v>
      </c>
    </row>
    <row r="208" customFormat="false" ht="23.85" hidden="false" customHeight="false" outlineLevel="0" collapsed="false">
      <c r="A208" s="5" t="s">
        <v>695</v>
      </c>
      <c r="B208" s="5" t="s">
        <v>702</v>
      </c>
      <c r="C208" s="5" t="s">
        <v>17</v>
      </c>
      <c r="D208" s="5" t="s">
        <v>703</v>
      </c>
      <c r="E208" s="5" t="s">
        <v>704</v>
      </c>
      <c r="F208" s="5" t="s">
        <v>20</v>
      </c>
      <c r="G208" s="5" t="s">
        <v>21</v>
      </c>
      <c r="H208" s="5" t="s">
        <v>22</v>
      </c>
      <c r="I208" s="5" t="s">
        <v>23</v>
      </c>
      <c r="J208" s="6" t="str">
        <f aca="false">HYPERLINK("https://www.siemens.com/","Official site")</f>
        <v>Official site</v>
      </c>
      <c r="K208" s="6" t="str">
        <f aca="false">HYPERLINK("https://www.siemens.com/en-us/products/simcenter/simcenter-x/advanced/","Evidence / lead")</f>
        <v>Evidence / lead</v>
      </c>
      <c r="L208" s="6" t="str">
        <f aca="false">HYPERLINK("https://www.ansys.com/products","Language source")</f>
        <v>Language source</v>
      </c>
    </row>
    <row r="209" customFormat="false" ht="23.85" hidden="false" customHeight="false" outlineLevel="0" collapsed="false">
      <c r="A209" s="5" t="s">
        <v>695</v>
      </c>
      <c r="B209" s="5" t="s">
        <v>705</v>
      </c>
      <c r="C209" s="5" t="s">
        <v>17</v>
      </c>
      <c r="D209" s="5" t="s">
        <v>706</v>
      </c>
      <c r="E209" s="5" t="s">
        <v>707</v>
      </c>
      <c r="F209" s="5" t="s">
        <v>20</v>
      </c>
      <c r="G209" s="5" t="s">
        <v>21</v>
      </c>
      <c r="H209" s="5" t="s">
        <v>22</v>
      </c>
      <c r="I209" s="5" t="s">
        <v>37</v>
      </c>
      <c r="J209" s="6" t="str">
        <f aca="false">HYPERLINK("https://altair.com/","Official site")</f>
        <v>Official site</v>
      </c>
      <c r="K209" s="6" t="str">
        <f aca="false">HYPERLINK("https://altair.com/","Evidence / lead")</f>
        <v>Evidence / lead</v>
      </c>
      <c r="L209" s="6" t="str">
        <f aca="false">HYPERLINK("https://www.ansys.com/products","Language source")</f>
        <v>Language source</v>
      </c>
    </row>
    <row r="210" customFormat="false" ht="23.85" hidden="false" customHeight="false" outlineLevel="0" collapsed="false">
      <c r="A210" s="5" t="s">
        <v>695</v>
      </c>
      <c r="B210" s="5" t="s">
        <v>708</v>
      </c>
      <c r="C210" s="5" t="s">
        <v>17</v>
      </c>
      <c r="D210" s="5" t="s">
        <v>709</v>
      </c>
      <c r="E210" s="5" t="s">
        <v>710</v>
      </c>
      <c r="F210" s="5" t="s">
        <v>20</v>
      </c>
      <c r="G210" s="5" t="s">
        <v>21</v>
      </c>
      <c r="H210" s="5" t="s">
        <v>22</v>
      </c>
      <c r="I210" s="5" t="s">
        <v>37</v>
      </c>
      <c r="J210" s="6" t="str">
        <f aca="false">HYPERLINK("https://www.functionbay.com/","Official site")</f>
        <v>Official site</v>
      </c>
      <c r="K210" s="6" t="str">
        <f aca="false">HYPERLINK("https://www.functionbay.com/","Evidence / lead")</f>
        <v>Evidence / lead</v>
      </c>
      <c r="L210" s="6" t="str">
        <f aca="false">HYPERLINK("https://www.ansys.com/products","Language source")</f>
        <v>Language source</v>
      </c>
    </row>
    <row r="211" customFormat="false" ht="23.85" hidden="false" customHeight="false" outlineLevel="0" collapsed="false">
      <c r="A211" s="5" t="s">
        <v>695</v>
      </c>
      <c r="B211" s="5" t="s">
        <v>711</v>
      </c>
      <c r="C211" s="5" t="s">
        <v>17</v>
      </c>
      <c r="D211" s="5" t="s">
        <v>712</v>
      </c>
      <c r="E211" s="5" t="s">
        <v>713</v>
      </c>
      <c r="F211" s="5" t="s">
        <v>20</v>
      </c>
      <c r="G211" s="5" t="s">
        <v>21</v>
      </c>
      <c r="H211" s="5" t="s">
        <v>22</v>
      </c>
      <c r="I211" s="5" t="s">
        <v>30</v>
      </c>
      <c r="J211" s="6" t="str">
        <f aca="false">HYPERLINK("https://www.mathworks.com/products/simscape-multibody.html","Official site")</f>
        <v>Official site</v>
      </c>
      <c r="K211" s="6" t="str">
        <f aca="false">HYPERLINK("https://www.mathworks.com/company/technical-articles/a-brief-history-of-matlab.html","Evidence / lead")</f>
        <v>Evidence / lead</v>
      </c>
      <c r="L211" s="6" t="str">
        <f aca="false">HYPERLINK("https://www.ansys.com/products","Language source")</f>
        <v>Language source</v>
      </c>
    </row>
    <row r="212" customFormat="false" ht="23.85" hidden="false" customHeight="false" outlineLevel="0" collapsed="false">
      <c r="A212" s="5" t="s">
        <v>695</v>
      </c>
      <c r="B212" s="5" t="s">
        <v>714</v>
      </c>
      <c r="C212" s="5" t="s">
        <v>17</v>
      </c>
      <c r="D212" s="5" t="s">
        <v>715</v>
      </c>
      <c r="E212" s="5" t="s">
        <v>716</v>
      </c>
      <c r="F212" s="5" t="s">
        <v>20</v>
      </c>
      <c r="G212" s="5" t="s">
        <v>21</v>
      </c>
      <c r="H212" s="5" t="s">
        <v>22</v>
      </c>
      <c r="I212" s="5" t="s">
        <v>23</v>
      </c>
      <c r="J212" s="6" t="str">
        <f aca="false">HYPERLINK("https://www.solidworks.com/","Official site")</f>
        <v>Official site</v>
      </c>
      <c r="K212" s="6" t="str">
        <f aca="false">HYPERLINK("https://www.solidworks.com/","Evidence / lead")</f>
        <v>Evidence / lead</v>
      </c>
      <c r="L212" s="6" t="str">
        <f aca="false">HYPERLINK("https://www.ansys.com/products","Language source")</f>
        <v>Language source</v>
      </c>
    </row>
    <row r="213" customFormat="false" ht="23.85" hidden="false" customHeight="false" outlineLevel="0" collapsed="false">
      <c r="A213" s="5" t="s">
        <v>695</v>
      </c>
      <c r="B213" s="5" t="s">
        <v>142</v>
      </c>
      <c r="C213" s="5" t="s">
        <v>17</v>
      </c>
      <c r="D213" s="5" t="s">
        <v>717</v>
      </c>
      <c r="E213" s="5" t="s">
        <v>718</v>
      </c>
      <c r="F213" s="5" t="s">
        <v>20</v>
      </c>
      <c r="G213" s="5" t="s">
        <v>21</v>
      </c>
      <c r="H213" s="5" t="s">
        <v>22</v>
      </c>
      <c r="I213" s="5" t="s">
        <v>23</v>
      </c>
      <c r="J213" s="6" t="str">
        <f aca="false">HYPERLINK("https://www.maplesoft.com/products/maplesim/","Official site")</f>
        <v>Official site</v>
      </c>
      <c r="K213" s="6" t="str">
        <f aca="false">HYPERLINK("https://www.maplesoft.com/products/maplesim/","Evidence / lead")</f>
        <v>Evidence / lead</v>
      </c>
      <c r="L213" s="6" t="str">
        <f aca="false">HYPERLINK("https://www.ansys.com/products","Language source")</f>
        <v>Language source</v>
      </c>
    </row>
    <row r="214" customFormat="false" ht="15" hidden="false" customHeight="false" outlineLevel="0" collapsed="false">
      <c r="A214" s="5" t="s">
        <v>695</v>
      </c>
      <c r="B214" s="5" t="s">
        <v>719</v>
      </c>
      <c r="C214" s="5" t="s">
        <v>48</v>
      </c>
      <c r="D214" s="5" t="s">
        <v>720</v>
      </c>
      <c r="E214" s="5" t="s">
        <v>721</v>
      </c>
      <c r="F214" s="5" t="s">
        <v>653</v>
      </c>
      <c r="G214" s="5" t="s">
        <v>722</v>
      </c>
      <c r="H214" s="5" t="s">
        <v>723</v>
      </c>
      <c r="I214" s="5" t="s">
        <v>23</v>
      </c>
      <c r="J214" s="6" t="str">
        <f aca="false">HYPERLINK("https://projectchrono.org/","Official site")</f>
        <v>Official site</v>
      </c>
      <c r="K214" s="6" t="str">
        <f aca="false">HYPERLINK("https://projectchrono.org/","Evidence / lead")</f>
        <v>Evidence / lead</v>
      </c>
      <c r="L214" s="6" t="str">
        <f aca="false">HYPERLINK("https://www.projectchrono.org/","Language source")</f>
        <v>Language source</v>
      </c>
    </row>
    <row r="215" customFormat="false" ht="23.85" hidden="false" customHeight="false" outlineLevel="0" collapsed="false">
      <c r="A215" s="5" t="s">
        <v>695</v>
      </c>
      <c r="B215" s="5" t="s">
        <v>724</v>
      </c>
      <c r="C215" s="5" t="s">
        <v>48</v>
      </c>
      <c r="D215" s="5" t="s">
        <v>725</v>
      </c>
      <c r="E215" s="5" t="s">
        <v>726</v>
      </c>
      <c r="F215" s="5" t="s">
        <v>151</v>
      </c>
      <c r="G215" s="5" t="s">
        <v>152</v>
      </c>
      <c r="H215" s="5" t="s">
        <v>153</v>
      </c>
      <c r="I215" s="5" t="s">
        <v>23</v>
      </c>
      <c r="J215" s="6" t="str">
        <f aca="false">HYPERLINK("https://www.mbdyn.org/","Official site")</f>
        <v>Official site</v>
      </c>
      <c r="K215" s="6" t="str">
        <f aca="false">HYPERLINK("https://www.mbdyn.org/","Evidence / lead")</f>
        <v>Evidence / lead</v>
      </c>
      <c r="L215" s="6" t="str">
        <f aca="false">HYPERLINK("https://www.mbdyn.org/","Language source")</f>
        <v>Language source</v>
      </c>
    </row>
    <row r="216" customFormat="false" ht="23.85" hidden="false" customHeight="false" outlineLevel="0" collapsed="false">
      <c r="A216" s="5" t="s">
        <v>727</v>
      </c>
      <c r="B216" s="5" t="s">
        <v>728</v>
      </c>
      <c r="C216" s="5" t="s">
        <v>17</v>
      </c>
      <c r="D216" s="5" t="s">
        <v>729</v>
      </c>
      <c r="E216" s="5" t="s">
        <v>730</v>
      </c>
      <c r="F216" s="5" t="s">
        <v>242</v>
      </c>
      <c r="G216" s="5" t="s">
        <v>243</v>
      </c>
      <c r="H216" s="5" t="s">
        <v>22</v>
      </c>
      <c r="I216" s="5" t="s">
        <v>23</v>
      </c>
      <c r="J216" s="6" t="str">
        <f aca="false">HYPERLINK("https://www.mastercam.com/","Official site")</f>
        <v>Official site</v>
      </c>
      <c r="K216" s="6" t="str">
        <f aca="false">HYPERLINK("https://www.mastercam.com/","Evidence / lead")</f>
        <v>Evidence / lead</v>
      </c>
      <c r="L216" s="6" t="str">
        <f aca="false">HYPERLINK("https://www.ptc.com/en/products/creo","Language source")</f>
        <v>Language source</v>
      </c>
    </row>
    <row r="217" customFormat="false" ht="23.85" hidden="false" customHeight="false" outlineLevel="0" collapsed="false">
      <c r="A217" s="5" t="s">
        <v>727</v>
      </c>
      <c r="B217" s="5" t="s">
        <v>731</v>
      </c>
      <c r="C217" s="5" t="s">
        <v>17</v>
      </c>
      <c r="D217" s="5" t="s">
        <v>732</v>
      </c>
      <c r="E217" s="5" t="s">
        <v>733</v>
      </c>
      <c r="F217" s="5" t="s">
        <v>242</v>
      </c>
      <c r="G217" s="5" t="s">
        <v>243</v>
      </c>
      <c r="H217" s="5" t="s">
        <v>22</v>
      </c>
      <c r="I217" s="5" t="s">
        <v>23</v>
      </c>
      <c r="J217" s="6" t="str">
        <f aca="false">HYPERLINK("https://www.siemens.com/","Official site")</f>
        <v>Official site</v>
      </c>
      <c r="K217" s="6" t="str">
        <f aca="false">HYPERLINK("https://www.siemens.com/en-gb/products/tia-portal/step7/","Evidence / lead")</f>
        <v>Evidence / lead</v>
      </c>
      <c r="L217" s="6" t="str">
        <f aca="false">HYPERLINK("https://www.ptc.com/en/products/creo","Language source")</f>
        <v>Language source</v>
      </c>
    </row>
    <row r="218" customFormat="false" ht="23.85" hidden="false" customHeight="false" outlineLevel="0" collapsed="false">
      <c r="A218" s="5" t="s">
        <v>727</v>
      </c>
      <c r="B218" s="5" t="s">
        <v>734</v>
      </c>
      <c r="C218" s="5" t="s">
        <v>17</v>
      </c>
      <c r="D218" s="5" t="s">
        <v>735</v>
      </c>
      <c r="E218" s="5" t="s">
        <v>736</v>
      </c>
      <c r="F218" s="5" t="s">
        <v>242</v>
      </c>
      <c r="G218" s="5" t="s">
        <v>243</v>
      </c>
      <c r="H218" s="5" t="s">
        <v>22</v>
      </c>
      <c r="I218" s="5" t="s">
        <v>23</v>
      </c>
      <c r="J218" s="6" t="str">
        <f aca="false">HYPERLINK("https://www.autodesk.com/","Official site")</f>
        <v>Official site</v>
      </c>
      <c r="K218" s="6" t="str">
        <f aca="false">HYPERLINK("https://www.autodesk.com/collections","Evidence / lead")</f>
        <v>Evidence / lead</v>
      </c>
      <c r="L218" s="6" t="str">
        <f aca="false">HYPERLINK("https://www.ptc.com/en/products/creo","Language source")</f>
        <v>Language source</v>
      </c>
    </row>
    <row r="219" customFormat="false" ht="23.85" hidden="false" customHeight="false" outlineLevel="0" collapsed="false">
      <c r="A219" s="5" t="s">
        <v>727</v>
      </c>
      <c r="B219" s="5" t="s">
        <v>737</v>
      </c>
      <c r="C219" s="5" t="s">
        <v>17</v>
      </c>
      <c r="D219" s="5" t="s">
        <v>738</v>
      </c>
      <c r="E219" s="5" t="s">
        <v>739</v>
      </c>
      <c r="F219" s="5" t="s">
        <v>242</v>
      </c>
      <c r="G219" s="5" t="s">
        <v>243</v>
      </c>
      <c r="H219" s="5" t="s">
        <v>22</v>
      </c>
      <c r="I219" s="5" t="s">
        <v>23</v>
      </c>
      <c r="J219" s="6" t="str">
        <f aca="false">HYPERLINK("https://www.autodesk.com/","Official site")</f>
        <v>Official site</v>
      </c>
      <c r="K219" s="6" t="str">
        <f aca="false">HYPERLINK("https://www.autodesk.com/products/infodrainage/overview","Evidence / lead")</f>
        <v>Evidence / lead</v>
      </c>
      <c r="L219" s="6" t="str">
        <f aca="false">HYPERLINK("https://www.ptc.com/en/products/creo","Language source")</f>
        <v>Language source</v>
      </c>
    </row>
    <row r="220" customFormat="false" ht="23.85" hidden="false" customHeight="false" outlineLevel="0" collapsed="false">
      <c r="A220" s="5" t="s">
        <v>727</v>
      </c>
      <c r="B220" s="5" t="s">
        <v>740</v>
      </c>
      <c r="C220" s="5" t="s">
        <v>17</v>
      </c>
      <c r="D220" s="5" t="s">
        <v>741</v>
      </c>
      <c r="E220" s="5" t="s">
        <v>742</v>
      </c>
      <c r="F220" s="5" t="s">
        <v>242</v>
      </c>
      <c r="G220" s="5" t="s">
        <v>243</v>
      </c>
      <c r="H220" s="5" t="s">
        <v>22</v>
      </c>
      <c r="I220" s="5" t="s">
        <v>30</v>
      </c>
      <c r="J220" s="6" t="str">
        <f aca="false">HYPERLINK("https://www.openmind-tech.com/","Official site")</f>
        <v>Official site</v>
      </c>
      <c r="K220" s="6" t="str">
        <f aca="false">HYPERLINK("https://www.openmind-tech.com/","Evidence / lead")</f>
        <v>Evidence / lead</v>
      </c>
      <c r="L220" s="6" t="str">
        <f aca="false">HYPERLINK("https://www.ptc.com/en/products/creo","Language source")</f>
        <v>Language source</v>
      </c>
    </row>
    <row r="221" customFormat="false" ht="23.85" hidden="false" customHeight="false" outlineLevel="0" collapsed="false">
      <c r="A221" s="5" t="s">
        <v>727</v>
      </c>
      <c r="B221" s="5" t="s">
        <v>743</v>
      </c>
      <c r="C221" s="5" t="s">
        <v>17</v>
      </c>
      <c r="D221" s="5" t="s">
        <v>744</v>
      </c>
      <c r="E221" s="5" t="s">
        <v>745</v>
      </c>
      <c r="F221" s="5" t="s">
        <v>242</v>
      </c>
      <c r="G221" s="5" t="s">
        <v>243</v>
      </c>
      <c r="H221" s="5" t="s">
        <v>22</v>
      </c>
      <c r="I221" s="5" t="s">
        <v>23</v>
      </c>
      <c r="J221" s="6" t="str">
        <f aca="false">HYPERLINK("https://www.cgtech.com/","Official site")</f>
        <v>Official site</v>
      </c>
      <c r="K221" s="6" t="str">
        <f aca="false">HYPERLINK("https://www.cgtech.com/","Evidence / lead")</f>
        <v>Evidence / lead</v>
      </c>
      <c r="L221" s="6" t="str">
        <f aca="false">HYPERLINK("https://www.ptc.com/en/products/creo","Language source")</f>
        <v>Language source</v>
      </c>
    </row>
    <row r="222" customFormat="false" ht="23.85" hidden="false" customHeight="false" outlineLevel="0" collapsed="false">
      <c r="A222" s="5" t="s">
        <v>727</v>
      </c>
      <c r="B222" s="5" t="s">
        <v>746</v>
      </c>
      <c r="C222" s="5" t="s">
        <v>17</v>
      </c>
      <c r="D222" s="5" t="s">
        <v>747</v>
      </c>
      <c r="E222" s="5" t="s">
        <v>748</v>
      </c>
      <c r="F222" s="5" t="s">
        <v>242</v>
      </c>
      <c r="G222" s="5" t="s">
        <v>243</v>
      </c>
      <c r="H222" s="5" t="s">
        <v>22</v>
      </c>
      <c r="I222" s="5" t="s">
        <v>23</v>
      </c>
      <c r="J222" s="6" t="str">
        <f aca="false">HYPERLINK("https://www.autodesk.com/","Official site")</f>
        <v>Official site</v>
      </c>
      <c r="K222" s="6" t="str">
        <f aca="false">HYPERLINK("https://www.autodesk.com/products/infodrainage/overview","Evidence / lead")</f>
        <v>Evidence / lead</v>
      </c>
      <c r="L222" s="6" t="str">
        <f aca="false">HYPERLINK("https://www.ptc.com/en/products/creo","Language source")</f>
        <v>Language source</v>
      </c>
    </row>
    <row r="223" customFormat="false" ht="23.85" hidden="false" customHeight="false" outlineLevel="0" collapsed="false">
      <c r="A223" s="5" t="s">
        <v>727</v>
      </c>
      <c r="B223" s="5" t="s">
        <v>749</v>
      </c>
      <c r="C223" s="5" t="s">
        <v>17</v>
      </c>
      <c r="D223" s="5" t="s">
        <v>750</v>
      </c>
      <c r="E223" s="5" t="s">
        <v>751</v>
      </c>
      <c r="F223" s="5" t="s">
        <v>242</v>
      </c>
      <c r="G223" s="5" t="s">
        <v>243</v>
      </c>
      <c r="H223" s="5" t="s">
        <v>22</v>
      </c>
      <c r="I223" s="5" t="s">
        <v>23</v>
      </c>
      <c r="J223" s="6" t="str">
        <f aca="false">HYPERLINK("https://www.deform.com/","Official site")</f>
        <v>Official site</v>
      </c>
      <c r="K223" s="6" t="str">
        <f aca="false">HYPERLINK("https://www.deform.com/","Evidence / lead")</f>
        <v>Evidence / lead</v>
      </c>
      <c r="L223" s="6" t="str">
        <f aca="false">HYPERLINK("https://www.ptc.com/en/products/creo","Language source")</f>
        <v>Language source</v>
      </c>
    </row>
    <row r="224" customFormat="false" ht="23.85" hidden="false" customHeight="false" outlineLevel="0" collapsed="false">
      <c r="A224" s="5" t="s">
        <v>727</v>
      </c>
      <c r="B224" s="5" t="s">
        <v>752</v>
      </c>
      <c r="C224" s="5" t="s">
        <v>17</v>
      </c>
      <c r="D224" s="5" t="s">
        <v>753</v>
      </c>
      <c r="E224" s="5" t="s">
        <v>754</v>
      </c>
      <c r="F224" s="5" t="s">
        <v>242</v>
      </c>
      <c r="G224" s="5" t="s">
        <v>243</v>
      </c>
      <c r="H224" s="5" t="s">
        <v>22</v>
      </c>
      <c r="I224" s="5" t="s">
        <v>23</v>
      </c>
      <c r="J224" s="6" t="str">
        <f aca="false">HYPERLINK("https://nexus.hexagon.com/home/product/category/software/","Official site")</f>
        <v>Official site</v>
      </c>
      <c r="K224" s="6" t="str">
        <f aca="false">HYPERLINK("https://nexus.hexagon.com/home/product/category/software/","Evidence / lead")</f>
        <v>Evidence / lead</v>
      </c>
      <c r="L224" s="6" t="str">
        <f aca="false">HYPERLINK("https://www.ptc.com/en/products/creo","Language source")</f>
        <v>Language source</v>
      </c>
    </row>
    <row r="225" customFormat="false" ht="23.85" hidden="false" customHeight="false" outlineLevel="0" collapsed="false">
      <c r="A225" s="5" t="s">
        <v>727</v>
      </c>
      <c r="B225" s="5" t="s">
        <v>755</v>
      </c>
      <c r="C225" s="5" t="s">
        <v>48</v>
      </c>
      <c r="D225" s="5" t="s">
        <v>756</v>
      </c>
      <c r="E225" s="5" t="s">
        <v>757</v>
      </c>
      <c r="F225" s="5" t="s">
        <v>587</v>
      </c>
      <c r="G225" s="5" t="s">
        <v>58</v>
      </c>
      <c r="H225" s="5" t="s">
        <v>367</v>
      </c>
      <c r="I225" s="5" t="s">
        <v>23</v>
      </c>
      <c r="J225" s="6" t="str">
        <f aca="false">HYPERLINK("https://www.freecad.org/","Official site")</f>
        <v>Official site</v>
      </c>
      <c r="K225" s="6" t="str">
        <f aca="false">HYPERLINK("https://www.freecad.org/api/","Evidence / lead")</f>
        <v>Evidence / lead</v>
      </c>
      <c r="L225" s="6" t="str">
        <f aca="false">HYPERLINK("https://www.freecad.org/api/","Language source")</f>
        <v>Language source</v>
      </c>
    </row>
    <row r="226" customFormat="false" ht="23.85" hidden="false" customHeight="false" outlineLevel="0" collapsed="false">
      <c r="A226" s="5" t="s">
        <v>758</v>
      </c>
      <c r="B226" s="5" t="s">
        <v>759</v>
      </c>
      <c r="C226" s="5" t="s">
        <v>17</v>
      </c>
      <c r="D226" s="5" t="s">
        <v>760</v>
      </c>
      <c r="E226" s="5" t="s">
        <v>761</v>
      </c>
      <c r="F226" s="5" t="s">
        <v>20</v>
      </c>
      <c r="G226" s="5" t="s">
        <v>21</v>
      </c>
      <c r="H226" s="5" t="s">
        <v>22</v>
      </c>
      <c r="I226" s="5" t="s">
        <v>23</v>
      </c>
      <c r="J226" s="6" t="str">
        <f aca="false">HYPERLINK("https://docs.aft.com/","Official site")</f>
        <v>Official site</v>
      </c>
      <c r="K226" s="6" t="str">
        <f aca="false">HYPERLINK("https://docs.aft.com/xStream4/Importing-And-Exporting-From-Other-DFS-Products.html","Evidence / lead")</f>
        <v>Evidence / lead</v>
      </c>
      <c r="L226" s="6" t="str">
        <f aca="false">HYPERLINK("https://www.ansys.com/products","Language source")</f>
        <v>Language source</v>
      </c>
    </row>
    <row r="227" customFormat="false" ht="23.85" hidden="false" customHeight="false" outlineLevel="0" collapsed="false">
      <c r="A227" s="5" t="s">
        <v>758</v>
      </c>
      <c r="B227" s="5" t="s">
        <v>762</v>
      </c>
      <c r="C227" s="5" t="s">
        <v>17</v>
      </c>
      <c r="D227" s="5" t="s">
        <v>763</v>
      </c>
      <c r="E227" s="5" t="s">
        <v>764</v>
      </c>
      <c r="F227" s="5" t="s">
        <v>20</v>
      </c>
      <c r="G227" s="5" t="s">
        <v>21</v>
      </c>
      <c r="H227" s="5" t="s">
        <v>22</v>
      </c>
      <c r="I227" s="5" t="s">
        <v>23</v>
      </c>
      <c r="J227" s="6" t="str">
        <f aca="false">HYPERLINK("https://docs.aft.com/","Official site")</f>
        <v>Official site</v>
      </c>
      <c r="K227" s="6" t="str">
        <f aca="false">HYPERLINK("https://docs.aft.com/xStream4/Importing-And-Exporting-From-Other-DFS-Products.html","Evidence / lead")</f>
        <v>Evidence / lead</v>
      </c>
      <c r="L227" s="6" t="str">
        <f aca="false">HYPERLINK("https://www.ansys.com/products","Language source")</f>
        <v>Language source</v>
      </c>
    </row>
    <row r="228" customFormat="false" ht="23.85" hidden="false" customHeight="false" outlineLevel="0" collapsed="false">
      <c r="A228" s="5" t="s">
        <v>758</v>
      </c>
      <c r="B228" s="5" t="s">
        <v>765</v>
      </c>
      <c r="C228" s="5" t="s">
        <v>17</v>
      </c>
      <c r="D228" s="5" t="s">
        <v>766</v>
      </c>
      <c r="E228" s="5" t="s">
        <v>767</v>
      </c>
      <c r="F228" s="5" t="s">
        <v>20</v>
      </c>
      <c r="G228" s="5" t="s">
        <v>21</v>
      </c>
      <c r="H228" s="5" t="s">
        <v>22</v>
      </c>
      <c r="I228" s="5" t="s">
        <v>23</v>
      </c>
      <c r="J228" s="6" t="str">
        <f aca="false">HYPERLINK("https://docs.aft.com/","Official site")</f>
        <v>Official site</v>
      </c>
      <c r="K228" s="6" t="str">
        <f aca="false">HYPERLINK("https://docs.aft.com/xStream4/Importing-And-Exporting-From-Other-DFS-Products.html","Evidence / lead")</f>
        <v>Evidence / lead</v>
      </c>
      <c r="L228" s="6" t="str">
        <f aca="false">HYPERLINK("https://www.ansys.com/products","Language source")</f>
        <v>Language source</v>
      </c>
    </row>
    <row r="229" customFormat="false" ht="23.85" hidden="false" customHeight="false" outlineLevel="0" collapsed="false">
      <c r="A229" s="5" t="s">
        <v>758</v>
      </c>
      <c r="B229" s="5" t="s">
        <v>768</v>
      </c>
      <c r="C229" s="5" t="s">
        <v>17</v>
      </c>
      <c r="D229" s="5" t="s">
        <v>769</v>
      </c>
      <c r="E229" s="5" t="s">
        <v>770</v>
      </c>
      <c r="F229" s="5" t="s">
        <v>20</v>
      </c>
      <c r="G229" s="5" t="s">
        <v>21</v>
      </c>
      <c r="H229" s="5" t="s">
        <v>22</v>
      </c>
      <c r="I229" s="5" t="s">
        <v>30</v>
      </c>
      <c r="J229" s="6" t="str">
        <f aca="false">HYPERLINK("https://www.pipeflow.com/","Official site")</f>
        <v>Official site</v>
      </c>
      <c r="K229" s="6" t="str">
        <f aca="false">HYPERLINK("https://www.pipeflow.com/","Evidence / lead")</f>
        <v>Evidence / lead</v>
      </c>
      <c r="L229" s="6" t="str">
        <f aca="false">HYPERLINK("https://www.ansys.com/products","Language source")</f>
        <v>Language source</v>
      </c>
    </row>
    <row r="230" customFormat="false" ht="23.85" hidden="false" customHeight="false" outlineLevel="0" collapsed="false">
      <c r="A230" s="5" t="s">
        <v>758</v>
      </c>
      <c r="B230" s="5" t="s">
        <v>771</v>
      </c>
      <c r="C230" s="5" t="s">
        <v>17</v>
      </c>
      <c r="D230" s="5" t="s">
        <v>772</v>
      </c>
      <c r="E230" s="5" t="s">
        <v>773</v>
      </c>
      <c r="F230" s="5" t="s">
        <v>20</v>
      </c>
      <c r="G230" s="5" t="s">
        <v>21</v>
      </c>
      <c r="H230" s="5" t="s">
        <v>22</v>
      </c>
      <c r="I230" s="5" t="s">
        <v>23</v>
      </c>
      <c r="J230" s="6" t="str">
        <f aca="false">HYPERLINK("https://www.pipe-flo.com/","Official site")</f>
        <v>Official site</v>
      </c>
      <c r="K230" s="6" t="str">
        <f aca="false">HYPERLINK("https://www.pipe-flo.com/","Evidence / lead")</f>
        <v>Evidence / lead</v>
      </c>
      <c r="L230" s="6" t="str">
        <f aca="false">HYPERLINK("https://www.ansys.com/products","Language source")</f>
        <v>Language source</v>
      </c>
    </row>
    <row r="231" customFormat="false" ht="23.85" hidden="false" customHeight="false" outlineLevel="0" collapsed="false">
      <c r="A231" s="5" t="s">
        <v>758</v>
      </c>
      <c r="B231" s="5" t="s">
        <v>774</v>
      </c>
      <c r="C231" s="5" t="s">
        <v>17</v>
      </c>
      <c r="D231" s="5" t="s">
        <v>775</v>
      </c>
      <c r="E231" s="5" t="s">
        <v>776</v>
      </c>
      <c r="F231" s="5" t="s">
        <v>20</v>
      </c>
      <c r="G231" s="5" t="s">
        <v>21</v>
      </c>
      <c r="H231" s="5" t="s">
        <v>22</v>
      </c>
      <c r="I231" s="5" t="s">
        <v>23</v>
      </c>
      <c r="J231" s="6" t="str">
        <f aca="false">HYPERLINK("https://www.sunrise-sys.com/","Official site")</f>
        <v>Official site</v>
      </c>
      <c r="K231" s="6" t="str">
        <f aca="false">HYPERLINK("https://www.sunrise-sys.com/","Evidence / lead")</f>
        <v>Evidence / lead</v>
      </c>
      <c r="L231" s="6" t="str">
        <f aca="false">HYPERLINK("https://www.ansys.com/products","Language source")</f>
        <v>Language source</v>
      </c>
    </row>
    <row r="232" customFormat="false" ht="23.85" hidden="false" customHeight="false" outlineLevel="0" collapsed="false">
      <c r="A232" s="5" t="s">
        <v>758</v>
      </c>
      <c r="B232" s="5" t="s">
        <v>777</v>
      </c>
      <c r="C232" s="5" t="s">
        <v>17</v>
      </c>
      <c r="D232" s="5" t="s">
        <v>778</v>
      </c>
      <c r="E232" s="5" t="s">
        <v>779</v>
      </c>
      <c r="F232" s="5" t="s">
        <v>20</v>
      </c>
      <c r="G232" s="5" t="s">
        <v>21</v>
      </c>
      <c r="H232" s="5" t="s">
        <v>22</v>
      </c>
      <c r="I232" s="5" t="s">
        <v>23</v>
      </c>
      <c r="J232" s="6" t="str">
        <f aca="false">HYPERLINK("https://www.siemens.com/","Official site")</f>
        <v>Official site</v>
      </c>
      <c r="K232" s="6" t="str">
        <f aca="false">HYPERLINK("https://www.siemens.com/en-us/products/simcenter/simcenter-x/advanced/","Evidence / lead")</f>
        <v>Evidence / lead</v>
      </c>
      <c r="L232" s="6" t="str">
        <f aca="false">HYPERLINK("https://www.ansys.com/products","Language source")</f>
        <v>Language source</v>
      </c>
    </row>
    <row r="233" customFormat="false" ht="23.85" hidden="false" customHeight="false" outlineLevel="0" collapsed="false">
      <c r="A233" s="5" t="s">
        <v>758</v>
      </c>
      <c r="B233" s="5" t="s">
        <v>139</v>
      </c>
      <c r="C233" s="5" t="s">
        <v>17</v>
      </c>
      <c r="D233" s="5" t="s">
        <v>780</v>
      </c>
      <c r="E233" s="5" t="s">
        <v>781</v>
      </c>
      <c r="F233" s="5" t="s">
        <v>20</v>
      </c>
      <c r="G233" s="5" t="s">
        <v>21</v>
      </c>
      <c r="H233" s="5" t="s">
        <v>22</v>
      </c>
      <c r="I233" s="5" t="s">
        <v>23</v>
      </c>
      <c r="J233" s="6" t="str">
        <f aca="false">HYPERLINK("https://www.siemens.com/en-us/products/simcenter/","Official site")</f>
        <v>Official site</v>
      </c>
      <c r="K233" s="6" t="str">
        <f aca="false">HYPERLINK("https://www.siemens.com/en-us/products/simcenter/simcenter-x/advanced/","Evidence / lead")</f>
        <v>Evidence / lead</v>
      </c>
      <c r="L233" s="6" t="str">
        <f aca="false">HYPERLINK("https://www.ansys.com/products","Language source")</f>
        <v>Language source</v>
      </c>
    </row>
    <row r="234" customFormat="false" ht="23.85" hidden="false" customHeight="false" outlineLevel="0" collapsed="false">
      <c r="A234" s="5" t="s">
        <v>758</v>
      </c>
      <c r="B234" s="5" t="s">
        <v>782</v>
      </c>
      <c r="C234" s="5" t="s">
        <v>17</v>
      </c>
      <c r="D234" s="5" t="s">
        <v>783</v>
      </c>
      <c r="E234" s="5" t="s">
        <v>784</v>
      </c>
      <c r="F234" s="5" t="s">
        <v>20</v>
      </c>
      <c r="G234" s="5" t="s">
        <v>21</v>
      </c>
      <c r="H234" s="5" t="s">
        <v>22</v>
      </c>
      <c r="I234" s="5" t="s">
        <v>23</v>
      </c>
      <c r="J234" s="6" t="str">
        <f aca="false">HYPERLINK("https://www.gtisoft.com/gt-suite/","Official site")</f>
        <v>Official site</v>
      </c>
      <c r="K234" s="6" t="str">
        <f aca="false">HYPERLINK("https://www.gtisoft.com/gt-suite/","Evidence / lead")</f>
        <v>Evidence / lead</v>
      </c>
      <c r="L234" s="6" t="str">
        <f aca="false">HYPERLINK("https://www.ansys.com/products","Language source")</f>
        <v>Language source</v>
      </c>
    </row>
    <row r="235" customFormat="false" ht="23.85" hidden="false" customHeight="false" outlineLevel="0" collapsed="false">
      <c r="A235" s="5" t="s">
        <v>758</v>
      </c>
      <c r="B235" s="5" t="s">
        <v>785</v>
      </c>
      <c r="C235" s="5" t="s">
        <v>48</v>
      </c>
      <c r="D235" s="5" t="s">
        <v>786</v>
      </c>
      <c r="E235" s="5" t="s">
        <v>787</v>
      </c>
      <c r="F235" s="5" t="s">
        <v>788</v>
      </c>
      <c r="G235" s="5" t="s">
        <v>789</v>
      </c>
      <c r="H235" s="5" t="s">
        <v>790</v>
      </c>
      <c r="I235" s="5" t="s">
        <v>23</v>
      </c>
      <c r="J235" s="6" t="str">
        <f aca="false">HYPERLINK("https://www.epa.gov/water-research/epanet","Official site")</f>
        <v>Official site</v>
      </c>
      <c r="K235" s="6" t="str">
        <f aca="false">HYPERLINK("https://www.epa.gov/water-research/epanet","Evidence / lead")</f>
        <v>Evidence / lead</v>
      </c>
      <c r="L235" s="6" t="str">
        <f aca="false">HYPERLINK("https://github.com/USEPA/epanet-engine","Language source")</f>
        <v>Language source</v>
      </c>
    </row>
    <row r="236" customFormat="false" ht="23.85" hidden="false" customHeight="false" outlineLevel="0" collapsed="false">
      <c r="A236" s="5" t="s">
        <v>791</v>
      </c>
      <c r="B236" s="5" t="s">
        <v>792</v>
      </c>
      <c r="C236" s="5" t="s">
        <v>17</v>
      </c>
      <c r="D236" s="5" t="s">
        <v>793</v>
      </c>
      <c r="E236" s="5" t="s">
        <v>794</v>
      </c>
      <c r="F236" s="5" t="s">
        <v>20</v>
      </c>
      <c r="G236" s="5" t="s">
        <v>21</v>
      </c>
      <c r="H236" s="5" t="s">
        <v>22</v>
      </c>
      <c r="I236" s="5" t="s">
        <v>23</v>
      </c>
      <c r="J236" s="6" t="str">
        <f aca="false">HYPERLINK("https://www.ansys.com/","Official site")</f>
        <v>Official site</v>
      </c>
      <c r="K236" s="6" t="str">
        <f aca="false">HYPERLINK("https://www.ansys.com/content/ansysincprogram/en-us/home/products/electronics/ansys-icepak.html","Evidence / lead")</f>
        <v>Evidence / lead</v>
      </c>
      <c r="L236" s="6" t="str">
        <f aca="false">HYPERLINK("https://www.ansys.com/products","Language source")</f>
        <v>Language source</v>
      </c>
    </row>
    <row r="237" customFormat="false" ht="23.85" hidden="false" customHeight="false" outlineLevel="0" collapsed="false">
      <c r="A237" s="5" t="s">
        <v>791</v>
      </c>
      <c r="B237" s="5" t="s">
        <v>795</v>
      </c>
      <c r="C237" s="5" t="s">
        <v>17</v>
      </c>
      <c r="D237" s="5" t="s">
        <v>796</v>
      </c>
      <c r="E237" s="5" t="s">
        <v>797</v>
      </c>
      <c r="F237" s="5" t="s">
        <v>20</v>
      </c>
      <c r="G237" s="5" t="s">
        <v>21</v>
      </c>
      <c r="H237" s="5" t="s">
        <v>22</v>
      </c>
      <c r="I237" s="5" t="s">
        <v>23</v>
      </c>
      <c r="J237" s="6" t="str">
        <f aca="false">HYPERLINK("https://www.3ds.com/","Official site")</f>
        <v>Official site</v>
      </c>
      <c r="K237" s="6" t="str">
        <f aca="false">HYPERLINK("https://www.3ds.com/products/simulia/fe-safe","Evidence / lead")</f>
        <v>Evidence / lead</v>
      </c>
      <c r="L237" s="6" t="str">
        <f aca="false">HYPERLINK("https://www.ansys.com/products","Language source")</f>
        <v>Language source</v>
      </c>
    </row>
    <row r="238" customFormat="false" ht="23.85" hidden="false" customHeight="false" outlineLevel="0" collapsed="false">
      <c r="A238" s="5" t="s">
        <v>791</v>
      </c>
      <c r="B238" s="5" t="s">
        <v>798</v>
      </c>
      <c r="C238" s="5" t="s">
        <v>17</v>
      </c>
      <c r="D238" s="5" t="s">
        <v>799</v>
      </c>
      <c r="E238" s="5" t="s">
        <v>800</v>
      </c>
      <c r="F238" s="5" t="s">
        <v>20</v>
      </c>
      <c r="G238" s="5" t="s">
        <v>21</v>
      </c>
      <c r="H238" s="5" t="s">
        <v>22</v>
      </c>
      <c r="I238" s="5" t="s">
        <v>37</v>
      </c>
      <c r="J238" s="6" t="str">
        <f aca="false">HYPERLINK("https://altair.com/","Official site")</f>
        <v>Official site</v>
      </c>
      <c r="K238" s="6" t="str">
        <f aca="false">HYPERLINK("https://altair.com/","Evidence / lead")</f>
        <v>Evidence / lead</v>
      </c>
      <c r="L238" s="6" t="str">
        <f aca="false">HYPERLINK("https://www.ansys.com/products","Language source")</f>
        <v>Language source</v>
      </c>
    </row>
    <row r="239" customFormat="false" ht="23.85" hidden="false" customHeight="false" outlineLevel="0" collapsed="false">
      <c r="A239" s="5" t="s">
        <v>791</v>
      </c>
      <c r="B239" s="5" t="s">
        <v>801</v>
      </c>
      <c r="C239" s="5" t="s">
        <v>17</v>
      </c>
      <c r="D239" s="5" t="s">
        <v>802</v>
      </c>
      <c r="E239" s="5" t="s">
        <v>803</v>
      </c>
      <c r="F239" s="5" t="s">
        <v>20</v>
      </c>
      <c r="G239" s="5" t="s">
        <v>21</v>
      </c>
      <c r="H239" s="5" t="s">
        <v>22</v>
      </c>
      <c r="I239" s="5" t="s">
        <v>23</v>
      </c>
      <c r="J239" s="6" t="str">
        <f aca="false">HYPERLINK("https://nexus.hexagon.com/home/product/category/software/","Official site")</f>
        <v>Official site</v>
      </c>
      <c r="K239" s="6" t="str">
        <f aca="false">HYPERLINK("https://nexus.hexagon.com/home/product/category/software/","Evidence / lead")</f>
        <v>Evidence / lead</v>
      </c>
      <c r="L239" s="6" t="str">
        <f aca="false">HYPERLINK("https://www.ansys.com/products","Language source")</f>
        <v>Language source</v>
      </c>
    </row>
    <row r="240" customFormat="false" ht="23.85" hidden="false" customHeight="false" outlineLevel="0" collapsed="false">
      <c r="A240" s="5" t="s">
        <v>791</v>
      </c>
      <c r="B240" s="5" t="s">
        <v>804</v>
      </c>
      <c r="C240" s="5" t="s">
        <v>17</v>
      </c>
      <c r="D240" s="5" t="s">
        <v>805</v>
      </c>
      <c r="E240" s="5" t="s">
        <v>806</v>
      </c>
      <c r="F240" s="5" t="s">
        <v>20</v>
      </c>
      <c r="G240" s="5" t="s">
        <v>21</v>
      </c>
      <c r="H240" s="5" t="s">
        <v>22</v>
      </c>
      <c r="I240" s="5" t="s">
        <v>23</v>
      </c>
      <c r="J240" s="6" t="str">
        <f aca="false">HYPERLINK("https://femfat.magna.com/","Official site")</f>
        <v>Official site</v>
      </c>
      <c r="K240" s="6" t="str">
        <f aca="false">HYPERLINK("https://femfat.magna.com/","Evidence / lead")</f>
        <v>Evidence / lead</v>
      </c>
      <c r="L240" s="6" t="str">
        <f aca="false">HYPERLINK("https://www.ansys.com/products","Language source")</f>
        <v>Language source</v>
      </c>
    </row>
    <row r="241" customFormat="false" ht="23.85" hidden="false" customHeight="false" outlineLevel="0" collapsed="false">
      <c r="A241" s="5" t="s">
        <v>791</v>
      </c>
      <c r="B241" s="5" t="s">
        <v>807</v>
      </c>
      <c r="C241" s="5" t="s">
        <v>17</v>
      </c>
      <c r="D241" s="5" t="s">
        <v>808</v>
      </c>
      <c r="E241" s="5" t="s">
        <v>809</v>
      </c>
      <c r="F241" s="5" t="s">
        <v>20</v>
      </c>
      <c r="G241" s="5" t="s">
        <v>21</v>
      </c>
      <c r="H241" s="5" t="s">
        <v>22</v>
      </c>
      <c r="I241" s="5" t="s">
        <v>37</v>
      </c>
      <c r="J241" s="6" t="str">
        <f aca="false">HYPERLINK("https://www.fracanalysis.com/","Official site")</f>
        <v>Official site</v>
      </c>
      <c r="K241" s="6" t="str">
        <f aca="false">HYPERLINK("https://www.fracanalysis.com/","Evidence / lead")</f>
        <v>Evidence / lead</v>
      </c>
      <c r="L241" s="6" t="str">
        <f aca="false">HYPERLINK("https://www.ansys.com/products","Language source")</f>
        <v>Language source</v>
      </c>
    </row>
    <row r="242" customFormat="false" ht="23.85" hidden="false" customHeight="false" outlineLevel="0" collapsed="false">
      <c r="A242" s="5" t="s">
        <v>791</v>
      </c>
      <c r="B242" s="5" t="s">
        <v>810</v>
      </c>
      <c r="C242" s="5" t="s">
        <v>17</v>
      </c>
      <c r="D242" s="5" t="s">
        <v>811</v>
      </c>
      <c r="E242" s="5" t="s">
        <v>812</v>
      </c>
      <c r="F242" s="5" t="s">
        <v>20</v>
      </c>
      <c r="G242" s="5" t="s">
        <v>21</v>
      </c>
      <c r="H242" s="5" t="s">
        <v>22</v>
      </c>
      <c r="I242" s="5" t="s">
        <v>30</v>
      </c>
      <c r="J242" s="6" t="str">
        <f aca="false">HYPERLINK("https://www.swri.org/","Official site")</f>
        <v>Official site</v>
      </c>
      <c r="K242" s="6" t="str">
        <f aca="false">HYPERLINK("https://www.swri.org/","Evidence / lead")</f>
        <v>Evidence / lead</v>
      </c>
      <c r="L242" s="6" t="str">
        <f aca="false">HYPERLINK("https://www.ansys.com/products","Language source")</f>
        <v>Language source</v>
      </c>
    </row>
    <row r="243" customFormat="false" ht="23.85" hidden="false" customHeight="false" outlineLevel="0" collapsed="false">
      <c r="A243" s="5" t="s">
        <v>791</v>
      </c>
      <c r="B243" s="5" t="s">
        <v>813</v>
      </c>
      <c r="C243" s="5" t="s">
        <v>17</v>
      </c>
      <c r="D243" s="5" t="s">
        <v>814</v>
      </c>
      <c r="E243" s="5" t="s">
        <v>815</v>
      </c>
      <c r="F243" s="5" t="s">
        <v>20</v>
      </c>
      <c r="G243" s="5" t="s">
        <v>21</v>
      </c>
      <c r="H243" s="5" t="s">
        <v>22</v>
      </c>
      <c r="I243" s="5" t="s">
        <v>23</v>
      </c>
      <c r="J243" s="6" t="str">
        <f aca="false">HYPERLINK("https://www.ansys.com/","Official site")</f>
        <v>Official site</v>
      </c>
      <c r="K243" s="6" t="str">
        <f aca="false">HYPERLINK("https://www.ansys.com/academic/students/ansys-discovery-student","Evidence / lead")</f>
        <v>Evidence / lead</v>
      </c>
      <c r="L243" s="6" t="str">
        <f aca="false">HYPERLINK("https://www.ansys.com/products","Language source")</f>
        <v>Language source</v>
      </c>
    </row>
    <row r="244" customFormat="false" ht="23.85" hidden="false" customHeight="false" outlineLevel="0" collapsed="false">
      <c r="A244" s="5" t="s">
        <v>791</v>
      </c>
      <c r="B244" s="5" t="s">
        <v>622</v>
      </c>
      <c r="C244" s="5" t="s">
        <v>48</v>
      </c>
      <c r="D244" s="5" t="s">
        <v>816</v>
      </c>
      <c r="E244" s="5" t="s">
        <v>817</v>
      </c>
      <c r="F244" s="5" t="s">
        <v>151</v>
      </c>
      <c r="G244" s="5" t="s">
        <v>152</v>
      </c>
      <c r="H244" s="5" t="s">
        <v>153</v>
      </c>
      <c r="I244" s="5" t="s">
        <v>23</v>
      </c>
      <c r="J244" s="6" t="str">
        <f aca="false">HYPERLINK("https://www.code-aster.org/","Official site")</f>
        <v>Official site</v>
      </c>
      <c r="K244" s="6" t="str">
        <f aca="false">HYPERLINK("https://code-aster.org/doc/v17/manuals/man_d/d9/d9.02.01/Le_catalogue_g_n_ral_des_commandes_de_Code_Aster.html","Evidence / lead")</f>
        <v>Evidence / lead</v>
      </c>
      <c r="L244" s="6" t="str">
        <f aca="false">HYPERLINK("https://www.code-aster.org/","Language source")</f>
        <v>Language source</v>
      </c>
    </row>
    <row r="245" customFormat="false" ht="23.85" hidden="false" customHeight="false" outlineLevel="0" collapsed="false">
      <c r="A245" s="5" t="s">
        <v>791</v>
      </c>
      <c r="B245" s="5" t="s">
        <v>818</v>
      </c>
      <c r="C245" s="5" t="s">
        <v>48</v>
      </c>
      <c r="D245" s="5" t="s">
        <v>819</v>
      </c>
      <c r="E245" s="5" t="s">
        <v>820</v>
      </c>
      <c r="F245" s="5" t="s">
        <v>151</v>
      </c>
      <c r="G245" s="5" t="s">
        <v>152</v>
      </c>
      <c r="H245" s="5" t="s">
        <v>153</v>
      </c>
      <c r="I245" s="5" t="s">
        <v>37</v>
      </c>
      <c r="J245" s="6" t="str">
        <f aca="false">HYPERLINK("https://github.com/boschresearch/pylife","Official site")</f>
        <v>Official site</v>
      </c>
      <c r="K245" s="6" t="str">
        <f aca="false">HYPERLINK("https://github.com/boschresearch/pylife","Evidence / lead")</f>
        <v>Evidence / lead</v>
      </c>
      <c r="L245" s="6" t="str">
        <f aca="false">HYPERLINK("https://github.com/boschresearch/pylife","Language source")</f>
        <v>Language source</v>
      </c>
    </row>
    <row r="246" customFormat="false" ht="23.85" hidden="false" customHeight="false" outlineLevel="0" collapsed="false">
      <c r="A246" s="5" t="s">
        <v>821</v>
      </c>
      <c r="B246" s="5" t="s">
        <v>822</v>
      </c>
      <c r="C246" s="5" t="s">
        <v>17</v>
      </c>
      <c r="D246" s="5" t="s">
        <v>823</v>
      </c>
      <c r="E246" s="5" t="s">
        <v>824</v>
      </c>
      <c r="F246" s="5" t="s">
        <v>20</v>
      </c>
      <c r="G246" s="5" t="s">
        <v>21</v>
      </c>
      <c r="H246" s="5" t="s">
        <v>22</v>
      </c>
      <c r="I246" s="5" t="s">
        <v>23</v>
      </c>
      <c r="J246" s="6" t="str">
        <f aca="false">HYPERLINK("https://www.csiamerica.com/","Official site")</f>
        <v>Official site</v>
      </c>
      <c r="K246" s="6" t="str">
        <f aca="false">HYPERLINK("https://www.csiamerica.com/","Evidence / lead")</f>
        <v>Evidence / lead</v>
      </c>
      <c r="L246" s="6" t="str">
        <f aca="false">HYPERLINK("https://www.ansys.com/products","Language source")</f>
        <v>Language source</v>
      </c>
    </row>
    <row r="247" customFormat="false" ht="23.85" hidden="false" customHeight="false" outlineLevel="0" collapsed="false">
      <c r="A247" s="5" t="s">
        <v>821</v>
      </c>
      <c r="B247" s="5" t="s">
        <v>825</v>
      </c>
      <c r="C247" s="5" t="s">
        <v>17</v>
      </c>
      <c r="D247" s="5" t="s">
        <v>826</v>
      </c>
      <c r="E247" s="5" t="s">
        <v>827</v>
      </c>
      <c r="F247" s="5" t="s">
        <v>20</v>
      </c>
      <c r="G247" s="5" t="s">
        <v>21</v>
      </c>
      <c r="H247" s="5" t="s">
        <v>22</v>
      </c>
      <c r="I247" s="5" t="s">
        <v>23</v>
      </c>
      <c r="J247" s="6" t="str">
        <f aca="false">HYPERLINK("https://www.csiamerica.com/","Official site")</f>
        <v>Official site</v>
      </c>
      <c r="K247" s="6" t="str">
        <f aca="false">HYPERLINK("https://www.csiamerica.com/products/sap2000/features","Evidence / lead")</f>
        <v>Evidence / lead</v>
      </c>
      <c r="L247" s="6" t="str">
        <f aca="false">HYPERLINK("https://www.ansys.com/products","Language source")</f>
        <v>Language source</v>
      </c>
    </row>
    <row r="248" customFormat="false" ht="23.85" hidden="false" customHeight="false" outlineLevel="0" collapsed="false">
      <c r="A248" s="5" t="s">
        <v>821</v>
      </c>
      <c r="B248" s="5" t="s">
        <v>828</v>
      </c>
      <c r="C248" s="5" t="s">
        <v>17</v>
      </c>
      <c r="D248" s="5" t="s">
        <v>829</v>
      </c>
      <c r="E248" s="5" t="s">
        <v>830</v>
      </c>
      <c r="F248" s="5" t="s">
        <v>20</v>
      </c>
      <c r="G248" s="5" t="s">
        <v>21</v>
      </c>
      <c r="H248" s="5" t="s">
        <v>22</v>
      </c>
      <c r="I248" s="5" t="s">
        <v>23</v>
      </c>
      <c r="J248" s="6" t="str">
        <f aca="false">HYPERLINK("https://www.bentley.com/products/","Official site")</f>
        <v>Official site</v>
      </c>
      <c r="K248" s="6" t="str">
        <f aca="false">HYPERLINK("https://www.bentley.com/products/","Evidence / lead")</f>
        <v>Evidence / lead</v>
      </c>
      <c r="L248" s="6" t="str">
        <f aca="false">HYPERLINK("https://www.ansys.com/products","Language source")</f>
        <v>Language source</v>
      </c>
    </row>
    <row r="249" customFormat="false" ht="23.85" hidden="false" customHeight="false" outlineLevel="0" collapsed="false">
      <c r="A249" s="5" t="s">
        <v>821</v>
      </c>
      <c r="B249" s="5" t="s">
        <v>831</v>
      </c>
      <c r="C249" s="5" t="s">
        <v>17</v>
      </c>
      <c r="D249" s="5" t="s">
        <v>832</v>
      </c>
      <c r="E249" s="5" t="s">
        <v>833</v>
      </c>
      <c r="F249" s="5" t="s">
        <v>20</v>
      </c>
      <c r="G249" s="5" t="s">
        <v>21</v>
      </c>
      <c r="H249" s="5" t="s">
        <v>22</v>
      </c>
      <c r="I249" s="5" t="s">
        <v>23</v>
      </c>
      <c r="J249" s="6" t="str">
        <f aca="false">HYPERLINK("https://www.autodesk.com/collections","Official site")</f>
        <v>Official site</v>
      </c>
      <c r="K249" s="6" t="str">
        <f aca="false">HYPERLINK("https://www.autodesk.com/collections","Evidence / lead")</f>
        <v>Evidence / lead</v>
      </c>
      <c r="L249" s="6" t="str">
        <f aca="false">HYPERLINK("https://www.ansys.com/products","Language source")</f>
        <v>Language source</v>
      </c>
    </row>
    <row r="250" customFormat="false" ht="23.85" hidden="false" customHeight="false" outlineLevel="0" collapsed="false">
      <c r="A250" s="5" t="s">
        <v>821</v>
      </c>
      <c r="B250" s="5" t="s">
        <v>834</v>
      </c>
      <c r="C250" s="5" t="s">
        <v>17</v>
      </c>
      <c r="D250" s="5" t="s">
        <v>835</v>
      </c>
      <c r="E250" s="5" t="s">
        <v>836</v>
      </c>
      <c r="F250" s="5" t="s">
        <v>20</v>
      </c>
      <c r="G250" s="5" t="s">
        <v>21</v>
      </c>
      <c r="H250" s="5" t="s">
        <v>22</v>
      </c>
      <c r="I250" s="5" t="s">
        <v>23</v>
      </c>
      <c r="J250" s="6" t="str">
        <f aca="false">HYPERLINK("https://www.tekla.com/","Official site")</f>
        <v>Official site</v>
      </c>
      <c r="K250" s="6" t="str">
        <f aca="false">HYPERLINK("https://www.tekla.com/","Evidence / lead")</f>
        <v>Evidence / lead</v>
      </c>
      <c r="L250" s="6" t="str">
        <f aca="false">HYPERLINK("https://www.ansys.com/products","Language source")</f>
        <v>Language source</v>
      </c>
    </row>
    <row r="251" customFormat="false" ht="23.85" hidden="false" customHeight="false" outlineLevel="0" collapsed="false">
      <c r="A251" s="5" t="s">
        <v>821</v>
      </c>
      <c r="B251" s="5" t="s">
        <v>837</v>
      </c>
      <c r="C251" s="5" t="s">
        <v>17</v>
      </c>
      <c r="D251" s="5" t="s">
        <v>838</v>
      </c>
      <c r="E251" s="5" t="s">
        <v>839</v>
      </c>
      <c r="F251" s="5" t="s">
        <v>20</v>
      </c>
      <c r="G251" s="5" t="s">
        <v>21</v>
      </c>
      <c r="H251" s="5" t="s">
        <v>22</v>
      </c>
      <c r="I251" s="5" t="s">
        <v>30</v>
      </c>
      <c r="J251" s="6" t="str">
        <f aca="false">HYPERLINK("https://www.dlubal.com/","Official site")</f>
        <v>Official site</v>
      </c>
      <c r="K251" s="6" t="str">
        <f aca="false">HYPERLINK("https://www.dlubal.com/","Evidence / lead")</f>
        <v>Evidence / lead</v>
      </c>
      <c r="L251" s="6" t="str">
        <f aca="false">HYPERLINK("https://www.ansys.com/products","Language source")</f>
        <v>Language source</v>
      </c>
    </row>
    <row r="252" customFormat="false" ht="23.85" hidden="false" customHeight="false" outlineLevel="0" collapsed="false">
      <c r="A252" s="5" t="s">
        <v>821</v>
      </c>
      <c r="B252" s="5" t="s">
        <v>840</v>
      </c>
      <c r="C252" s="5" t="s">
        <v>17</v>
      </c>
      <c r="D252" s="5" t="s">
        <v>829</v>
      </c>
      <c r="E252" s="5" t="s">
        <v>841</v>
      </c>
      <c r="F252" s="5" t="s">
        <v>20</v>
      </c>
      <c r="G252" s="5" t="s">
        <v>21</v>
      </c>
      <c r="H252" s="5" t="s">
        <v>22</v>
      </c>
      <c r="I252" s="5" t="s">
        <v>23</v>
      </c>
      <c r="J252" s="6" t="str">
        <f aca="false">HYPERLINK("https://www.scia.net/","Official site")</f>
        <v>Official site</v>
      </c>
      <c r="K252" s="6" t="str">
        <f aca="false">HYPERLINK("https://www.scia.net/","Evidence / lead")</f>
        <v>Evidence / lead</v>
      </c>
      <c r="L252" s="6" t="str">
        <f aca="false">HYPERLINK("https://www.ansys.com/products","Language source")</f>
        <v>Language source</v>
      </c>
    </row>
    <row r="253" customFormat="false" ht="23.85" hidden="false" customHeight="false" outlineLevel="0" collapsed="false">
      <c r="A253" s="5" t="s">
        <v>821</v>
      </c>
      <c r="B253" s="5" t="s">
        <v>842</v>
      </c>
      <c r="C253" s="5" t="s">
        <v>17</v>
      </c>
      <c r="D253" s="5" t="s">
        <v>843</v>
      </c>
      <c r="E253" s="5" t="s">
        <v>844</v>
      </c>
      <c r="F253" s="5" t="s">
        <v>20</v>
      </c>
      <c r="G253" s="5" t="s">
        <v>21</v>
      </c>
      <c r="H253" s="5" t="s">
        <v>22</v>
      </c>
      <c r="I253" s="5" t="s">
        <v>23</v>
      </c>
      <c r="J253" s="6" t="str">
        <f aca="false">HYPERLINK("https://www.midasuser.com/","Official site")</f>
        <v>Official site</v>
      </c>
      <c r="K253" s="6" t="str">
        <f aca="false">HYPERLINK("https://www.midasuser.com/","Evidence / lead")</f>
        <v>Evidence / lead</v>
      </c>
      <c r="L253" s="6" t="str">
        <f aca="false">HYPERLINK("https://www.ansys.com/products","Language source")</f>
        <v>Language source</v>
      </c>
    </row>
    <row r="254" customFormat="false" ht="23.85" hidden="false" customHeight="false" outlineLevel="0" collapsed="false">
      <c r="A254" s="5" t="s">
        <v>821</v>
      </c>
      <c r="B254" s="5" t="s">
        <v>845</v>
      </c>
      <c r="C254" s="5" t="s">
        <v>17</v>
      </c>
      <c r="D254" s="5" t="s">
        <v>846</v>
      </c>
      <c r="E254" s="5" t="s">
        <v>847</v>
      </c>
      <c r="F254" s="5" t="s">
        <v>20</v>
      </c>
      <c r="G254" s="5" t="s">
        <v>21</v>
      </c>
      <c r="H254" s="5" t="s">
        <v>22</v>
      </c>
      <c r="I254" s="5" t="s">
        <v>30</v>
      </c>
      <c r="J254" s="6" t="str">
        <f aca="false">HYPERLINK("https://risa.com/","Official site")</f>
        <v>Official site</v>
      </c>
      <c r="K254" s="6" t="str">
        <f aca="false">HYPERLINK("https://risa.com/","Evidence / lead")</f>
        <v>Evidence / lead</v>
      </c>
      <c r="L254" s="6" t="str">
        <f aca="false">HYPERLINK("https://www.ansys.com/products","Language source")</f>
        <v>Language source</v>
      </c>
    </row>
    <row r="255" customFormat="false" ht="23.85" hidden="false" customHeight="false" outlineLevel="0" collapsed="false">
      <c r="A255" s="5" t="s">
        <v>821</v>
      </c>
      <c r="B255" s="5" t="s">
        <v>848</v>
      </c>
      <c r="C255" s="5" t="s">
        <v>849</v>
      </c>
      <c r="D255" s="5" t="s">
        <v>850</v>
      </c>
      <c r="E255" s="5" t="s">
        <v>851</v>
      </c>
      <c r="F255" s="5" t="s">
        <v>20</v>
      </c>
      <c r="G255" s="5" t="s">
        <v>21</v>
      </c>
      <c r="H255" s="5" t="s">
        <v>22</v>
      </c>
      <c r="I255" s="5" t="s">
        <v>23</v>
      </c>
      <c r="J255" s="6" t="str">
        <f aca="false">HYPERLINK("https://github.com/OpenSees/OpenSees/blob/master/COPYRIGHT","Official site")</f>
        <v>Official site</v>
      </c>
      <c r="K255" s="6" t="str">
        <f aca="false">HYPERLINK("https://github.com/OpenSees/OpenSees/blob/master/COPYRIGHT","Evidence / lead")</f>
        <v>Evidence / lead</v>
      </c>
      <c r="L255" s="6" t="str">
        <f aca="false">HYPERLINK("https://www.ansys.com/products","Language source")</f>
        <v>Language source</v>
      </c>
    </row>
    <row r="256" customFormat="false" ht="23.85" hidden="false" customHeight="false" outlineLevel="0" collapsed="false">
      <c r="A256" s="5" t="s">
        <v>852</v>
      </c>
      <c r="B256" s="5" t="s">
        <v>853</v>
      </c>
      <c r="C256" s="5" t="s">
        <v>17</v>
      </c>
      <c r="D256" s="5" t="s">
        <v>854</v>
      </c>
      <c r="E256" s="5" t="s">
        <v>855</v>
      </c>
      <c r="F256" s="5" t="s">
        <v>20</v>
      </c>
      <c r="G256" s="5" t="s">
        <v>21</v>
      </c>
      <c r="H256" s="5" t="s">
        <v>22</v>
      </c>
      <c r="I256" s="5" t="s">
        <v>23</v>
      </c>
      <c r="J256" s="6" t="str">
        <f aca="false">HYPERLINK("https://www.csiamerica.com/","Official site")</f>
        <v>Official site</v>
      </c>
      <c r="K256" s="6" t="str">
        <f aca="false">HYPERLINK("https://www.csiamerica.com/","Evidence / lead")</f>
        <v>Evidence / lead</v>
      </c>
      <c r="L256" s="6" t="str">
        <f aca="false">HYPERLINK("https://www.ansys.com/products","Language source")</f>
        <v>Language source</v>
      </c>
    </row>
    <row r="257" customFormat="false" ht="23.85" hidden="false" customHeight="false" outlineLevel="0" collapsed="false">
      <c r="A257" s="5" t="s">
        <v>852</v>
      </c>
      <c r="B257" s="5" t="s">
        <v>856</v>
      </c>
      <c r="C257" s="5" t="s">
        <v>17</v>
      </c>
      <c r="D257" s="5" t="s">
        <v>857</v>
      </c>
      <c r="E257" s="5" t="s">
        <v>858</v>
      </c>
      <c r="F257" s="5" t="s">
        <v>20</v>
      </c>
      <c r="G257" s="5" t="s">
        <v>21</v>
      </c>
      <c r="H257" s="5" t="s">
        <v>22</v>
      </c>
      <c r="I257" s="5" t="s">
        <v>23</v>
      </c>
      <c r="J257" s="6" t="str">
        <f aca="false">HYPERLINK("https://www.midasuser.com/","Official site")</f>
        <v>Official site</v>
      </c>
      <c r="K257" s="6" t="str">
        <f aca="false">HYPERLINK("https://www.midasuser.com/","Evidence / lead")</f>
        <v>Evidence / lead</v>
      </c>
      <c r="L257" s="6" t="str">
        <f aca="false">HYPERLINK("https://www.ansys.com/products","Language source")</f>
        <v>Language source</v>
      </c>
    </row>
    <row r="258" customFormat="false" ht="23.85" hidden="false" customHeight="false" outlineLevel="0" collapsed="false">
      <c r="A258" s="5" t="s">
        <v>852</v>
      </c>
      <c r="B258" s="5" t="s">
        <v>859</v>
      </c>
      <c r="C258" s="5" t="s">
        <v>17</v>
      </c>
      <c r="D258" s="5" t="s">
        <v>860</v>
      </c>
      <c r="E258" s="5" t="s">
        <v>861</v>
      </c>
      <c r="F258" s="5" t="s">
        <v>20</v>
      </c>
      <c r="G258" s="5" t="s">
        <v>21</v>
      </c>
      <c r="H258" s="5" t="s">
        <v>22</v>
      </c>
      <c r="I258" s="5" t="s">
        <v>23</v>
      </c>
      <c r="J258" s="6" t="str">
        <f aca="false">HYPERLINK("https://www.bentley.com/products/","Official site")</f>
        <v>Official site</v>
      </c>
      <c r="K258" s="6" t="str">
        <f aca="false">HYPERLINK("https://www.bentley.com/products/openground/","Evidence / lead")</f>
        <v>Evidence / lead</v>
      </c>
      <c r="L258" s="6" t="str">
        <f aca="false">HYPERLINK("https://www.ansys.com/products","Language source")</f>
        <v>Language source</v>
      </c>
    </row>
    <row r="259" customFormat="false" ht="23.85" hidden="false" customHeight="false" outlineLevel="0" collapsed="false">
      <c r="A259" s="5" t="s">
        <v>852</v>
      </c>
      <c r="B259" s="5" t="s">
        <v>862</v>
      </c>
      <c r="C259" s="5" t="s">
        <v>17</v>
      </c>
      <c r="D259" s="5" t="s">
        <v>863</v>
      </c>
      <c r="E259" s="5" t="s">
        <v>864</v>
      </c>
      <c r="F259" s="5" t="s">
        <v>20</v>
      </c>
      <c r="G259" s="5" t="s">
        <v>21</v>
      </c>
      <c r="H259" s="5" t="s">
        <v>22</v>
      </c>
      <c r="I259" s="5" t="s">
        <v>23</v>
      </c>
      <c r="J259" s="6" t="str">
        <f aca="false">HYPERLINK("https://www.lusas.com/","Official site")</f>
        <v>Official site</v>
      </c>
      <c r="K259" s="6" t="str">
        <f aca="false">HYPERLINK("https://www.lusas.com/","Evidence / lead")</f>
        <v>Evidence / lead</v>
      </c>
      <c r="L259" s="6" t="str">
        <f aca="false">HYPERLINK("https://www.ansys.com/products","Language source")</f>
        <v>Language source</v>
      </c>
    </row>
    <row r="260" customFormat="false" ht="23.85" hidden="false" customHeight="false" outlineLevel="0" collapsed="false">
      <c r="A260" s="5" t="s">
        <v>852</v>
      </c>
      <c r="B260" s="5" t="s">
        <v>865</v>
      </c>
      <c r="C260" s="5" t="s">
        <v>17</v>
      </c>
      <c r="D260" s="5" t="s">
        <v>866</v>
      </c>
      <c r="E260" s="5" t="s">
        <v>568</v>
      </c>
      <c r="F260" s="5" t="s">
        <v>20</v>
      </c>
      <c r="G260" s="5" t="s">
        <v>21</v>
      </c>
      <c r="H260" s="5" t="s">
        <v>22</v>
      </c>
      <c r="I260" s="5" t="s">
        <v>23</v>
      </c>
      <c r="J260" s="6" t="str">
        <f aca="false">HYPERLINK("https://www.sofistik.com/","Official site")</f>
        <v>Official site</v>
      </c>
      <c r="K260" s="6" t="str">
        <f aca="false">HYPERLINK("https://www.sofistik.com/","Evidence / lead")</f>
        <v>Evidence / lead</v>
      </c>
      <c r="L260" s="6" t="str">
        <f aca="false">HYPERLINK("https://www.ansys.com/products","Language source")</f>
        <v>Language source</v>
      </c>
    </row>
    <row r="261" customFormat="false" ht="23.85" hidden="false" customHeight="false" outlineLevel="0" collapsed="false">
      <c r="A261" s="5" t="s">
        <v>852</v>
      </c>
      <c r="B261" s="5" t="s">
        <v>867</v>
      </c>
      <c r="C261" s="5" t="s">
        <v>17</v>
      </c>
      <c r="D261" s="5" t="s">
        <v>868</v>
      </c>
      <c r="E261" s="5" t="s">
        <v>869</v>
      </c>
      <c r="F261" s="5" t="s">
        <v>20</v>
      </c>
      <c r="G261" s="5" t="s">
        <v>21</v>
      </c>
      <c r="H261" s="5" t="s">
        <v>22</v>
      </c>
      <c r="I261" s="5" t="s">
        <v>30</v>
      </c>
      <c r="J261" s="6" t="str">
        <f aca="false">HYPERLINK("https://www.bentley.com/products/","Official site")</f>
        <v>Official site</v>
      </c>
      <c r="K261" s="6" t="str">
        <f aca="false">HYPERLINK("https://www.bentley.com/products/","Evidence / lead")</f>
        <v>Evidence / lead</v>
      </c>
      <c r="L261" s="6" t="str">
        <f aca="false">HYPERLINK("https://www.ansys.com/products","Language source")</f>
        <v>Language source</v>
      </c>
    </row>
    <row r="262" customFormat="false" ht="23.85" hidden="false" customHeight="false" outlineLevel="0" collapsed="false">
      <c r="A262" s="5" t="s">
        <v>852</v>
      </c>
      <c r="B262" s="5" t="s">
        <v>870</v>
      </c>
      <c r="C262" s="5" t="s">
        <v>17</v>
      </c>
      <c r="D262" s="5" t="s">
        <v>871</v>
      </c>
      <c r="E262" s="5" t="s">
        <v>872</v>
      </c>
      <c r="F262" s="5" t="s">
        <v>20</v>
      </c>
      <c r="G262" s="5" t="s">
        <v>21</v>
      </c>
      <c r="H262" s="5" t="s">
        <v>22</v>
      </c>
      <c r="I262" s="5" t="s">
        <v>23</v>
      </c>
      <c r="J262" s="6" t="str">
        <f aca="false">HYPERLINK("https://www.bentley.com/products/","Official site")</f>
        <v>Official site</v>
      </c>
      <c r="K262" s="6" t="str">
        <f aca="false">HYPERLINK("https://www.bentley.com/products/openground/","Evidence / lead")</f>
        <v>Evidence / lead</v>
      </c>
      <c r="L262" s="6" t="str">
        <f aca="false">HYPERLINK("https://www.ansys.com/products","Language source")</f>
        <v>Language source</v>
      </c>
    </row>
    <row r="263" customFormat="false" ht="23.85" hidden="false" customHeight="false" outlineLevel="0" collapsed="false">
      <c r="A263" s="5" t="s">
        <v>852</v>
      </c>
      <c r="B263" s="5" t="s">
        <v>873</v>
      </c>
      <c r="C263" s="5" t="s">
        <v>17</v>
      </c>
      <c r="D263" s="5" t="s">
        <v>874</v>
      </c>
      <c r="E263" s="5" t="s">
        <v>872</v>
      </c>
      <c r="F263" s="5" t="s">
        <v>20</v>
      </c>
      <c r="G263" s="5" t="s">
        <v>21</v>
      </c>
      <c r="H263" s="5" t="s">
        <v>22</v>
      </c>
      <c r="I263" s="5" t="s">
        <v>23</v>
      </c>
      <c r="J263" s="6" t="str">
        <f aca="false">HYPERLINK("https://www.bentley.com/products/","Official site")</f>
        <v>Official site</v>
      </c>
      <c r="K263" s="6" t="str">
        <f aca="false">HYPERLINK("https://www.bentley.com/products/openground/","Evidence / lead")</f>
        <v>Evidence / lead</v>
      </c>
      <c r="L263" s="6" t="str">
        <f aca="false">HYPERLINK("https://www.ansys.com/products","Language source")</f>
        <v>Language source</v>
      </c>
    </row>
    <row r="264" customFormat="false" ht="23.85" hidden="false" customHeight="false" outlineLevel="0" collapsed="false">
      <c r="A264" s="5" t="s">
        <v>852</v>
      </c>
      <c r="B264" s="5" t="s">
        <v>825</v>
      </c>
      <c r="C264" s="5" t="s">
        <v>17</v>
      </c>
      <c r="D264" s="5" t="s">
        <v>875</v>
      </c>
      <c r="E264" s="5" t="s">
        <v>876</v>
      </c>
      <c r="F264" s="5" t="s">
        <v>20</v>
      </c>
      <c r="G264" s="5" t="s">
        <v>21</v>
      </c>
      <c r="H264" s="5" t="s">
        <v>22</v>
      </c>
      <c r="I264" s="5" t="s">
        <v>23</v>
      </c>
      <c r="J264" s="6" t="str">
        <f aca="false">HYPERLINK("https://www.csiamerica.com/","Official site")</f>
        <v>Official site</v>
      </c>
      <c r="K264" s="6" t="str">
        <f aca="false">HYPERLINK("https://www.csiamerica.com/products/sap2000/features","Evidence / lead")</f>
        <v>Evidence / lead</v>
      </c>
      <c r="L264" s="6" t="str">
        <f aca="false">HYPERLINK("https://www.ansys.com/products","Language source")</f>
        <v>Language source</v>
      </c>
    </row>
    <row r="265" customFormat="false" ht="23.85" hidden="false" customHeight="false" outlineLevel="0" collapsed="false">
      <c r="A265" s="5" t="s">
        <v>852</v>
      </c>
      <c r="B265" s="5" t="s">
        <v>592</v>
      </c>
      <c r="C265" s="5" t="s">
        <v>17</v>
      </c>
      <c r="D265" s="5" t="s">
        <v>877</v>
      </c>
      <c r="E265" s="5" t="s">
        <v>878</v>
      </c>
      <c r="F265" s="5" t="s">
        <v>20</v>
      </c>
      <c r="G265" s="5" t="s">
        <v>21</v>
      </c>
      <c r="H265" s="5" t="s">
        <v>22</v>
      </c>
      <c r="I265" s="5" t="s">
        <v>23</v>
      </c>
      <c r="J265" s="6" t="str">
        <f aca="false">HYPERLINK("https://www.ansys.com/","Official site")</f>
        <v>Official site</v>
      </c>
      <c r="K265" s="6" t="str">
        <f aca="false">HYPERLINK("https://www.ansys.com/products/ansys-workbench","Evidence / lead")</f>
        <v>Evidence / lead</v>
      </c>
      <c r="L265" s="6" t="str">
        <f aca="false">HYPERLINK("https://www.ansys.com/products","Language source")</f>
        <v>Language source</v>
      </c>
    </row>
    <row r="266" customFormat="false" ht="23.85" hidden="false" customHeight="false" outlineLevel="0" collapsed="false">
      <c r="A266" s="5" t="s">
        <v>879</v>
      </c>
      <c r="B266" s="5" t="s">
        <v>880</v>
      </c>
      <c r="C266" s="5" t="s">
        <v>17</v>
      </c>
      <c r="D266" s="5" t="s">
        <v>881</v>
      </c>
      <c r="E266" s="5" t="s">
        <v>882</v>
      </c>
      <c r="F266" s="5" t="s">
        <v>20</v>
      </c>
      <c r="G266" s="5" t="s">
        <v>21</v>
      </c>
      <c r="H266" s="5" t="s">
        <v>22</v>
      </c>
      <c r="I266" s="5" t="s">
        <v>23</v>
      </c>
      <c r="J266" s="6" t="str">
        <f aca="false">HYPERLINK("https://www.bentley.com/products/","Official site")</f>
        <v>Official site</v>
      </c>
      <c r="K266" s="6" t="str">
        <f aca="false">HYPERLINK("https://www.bentley.com/products/","Evidence / lead")</f>
        <v>Evidence / lead</v>
      </c>
      <c r="L266" s="6" t="str">
        <f aca="false">HYPERLINK("https://www.ansys.com/products","Language source")</f>
        <v>Language source</v>
      </c>
    </row>
    <row r="267" customFormat="false" ht="23.85" hidden="false" customHeight="false" outlineLevel="0" collapsed="false">
      <c r="A267" s="5" t="s">
        <v>879</v>
      </c>
      <c r="B267" s="5" t="s">
        <v>883</v>
      </c>
      <c r="C267" s="5" t="s">
        <v>17</v>
      </c>
      <c r="D267" s="5" t="s">
        <v>884</v>
      </c>
      <c r="E267" s="5" t="s">
        <v>885</v>
      </c>
      <c r="F267" s="5" t="s">
        <v>20</v>
      </c>
      <c r="G267" s="5" t="s">
        <v>21</v>
      </c>
      <c r="H267" s="5" t="s">
        <v>22</v>
      </c>
      <c r="I267" s="5" t="s">
        <v>23</v>
      </c>
      <c r="J267" s="6" t="str">
        <f aca="false">HYPERLINK("https://www.bentley.com/en/products/geostudio-3d/","Official site")</f>
        <v>Official site</v>
      </c>
      <c r="K267" s="6" t="str">
        <f aca="false">HYPERLINK("https://www.bentley.com/en/products/geostudio-3d/","Evidence / lead")</f>
        <v>Evidence / lead</v>
      </c>
      <c r="L267" s="6" t="str">
        <f aca="false">HYPERLINK("https://www.ansys.com/products","Language source")</f>
        <v>Language source</v>
      </c>
    </row>
    <row r="268" customFormat="false" ht="23.85" hidden="false" customHeight="false" outlineLevel="0" collapsed="false">
      <c r="A268" s="5" t="s">
        <v>879</v>
      </c>
      <c r="B268" s="5" t="s">
        <v>886</v>
      </c>
      <c r="C268" s="5" t="s">
        <v>17</v>
      </c>
      <c r="D268" s="5" t="s">
        <v>887</v>
      </c>
      <c r="E268" s="5" t="s">
        <v>888</v>
      </c>
      <c r="F268" s="5" t="s">
        <v>20</v>
      </c>
      <c r="G268" s="5" t="s">
        <v>21</v>
      </c>
      <c r="H268" s="5" t="s">
        <v>22</v>
      </c>
      <c r="I268" s="5" t="s">
        <v>23</v>
      </c>
      <c r="J268" s="6" t="str">
        <f aca="false">HYPERLINK("https://www.rocscience.com/software/rs2","Official site")</f>
        <v>Official site</v>
      </c>
      <c r="K268" s="6" t="str">
        <f aca="false">HYPERLINK("https://www.rocscience.com/software/rs2","Evidence / lead")</f>
        <v>Evidence / lead</v>
      </c>
      <c r="L268" s="6" t="str">
        <f aca="false">HYPERLINK("https://www.ansys.com/products","Language source")</f>
        <v>Language source</v>
      </c>
    </row>
    <row r="269" customFormat="false" ht="23.85" hidden="false" customHeight="false" outlineLevel="0" collapsed="false">
      <c r="A269" s="5" t="s">
        <v>879</v>
      </c>
      <c r="B269" s="5" t="s">
        <v>889</v>
      </c>
      <c r="C269" s="5" t="s">
        <v>17</v>
      </c>
      <c r="D269" s="5" t="s">
        <v>890</v>
      </c>
      <c r="E269" s="5" t="s">
        <v>891</v>
      </c>
      <c r="F269" s="5" t="s">
        <v>20</v>
      </c>
      <c r="G269" s="5" t="s">
        <v>21</v>
      </c>
      <c r="H269" s="5" t="s">
        <v>22</v>
      </c>
      <c r="I269" s="5" t="s">
        <v>23</v>
      </c>
      <c r="J269" s="6" t="str">
        <f aca="false">HYPERLINK("https://www.rocscience.com/software/rs3","Official site")</f>
        <v>Official site</v>
      </c>
      <c r="K269" s="6" t="str">
        <f aca="false">HYPERLINK("https://www.rocscience.com/software/rs3","Evidence / lead")</f>
        <v>Evidence / lead</v>
      </c>
      <c r="L269" s="6" t="str">
        <f aca="false">HYPERLINK("https://www.ansys.com/products","Language source")</f>
        <v>Language source</v>
      </c>
    </row>
    <row r="270" customFormat="false" ht="23.85" hidden="false" customHeight="false" outlineLevel="0" collapsed="false">
      <c r="A270" s="5" t="s">
        <v>879</v>
      </c>
      <c r="B270" s="5" t="s">
        <v>892</v>
      </c>
      <c r="C270" s="5" t="s">
        <v>17</v>
      </c>
      <c r="D270" s="5" t="s">
        <v>893</v>
      </c>
      <c r="E270" s="5" t="s">
        <v>894</v>
      </c>
      <c r="F270" s="5" t="s">
        <v>20</v>
      </c>
      <c r="G270" s="5" t="s">
        <v>21</v>
      </c>
      <c r="H270" s="5" t="s">
        <v>22</v>
      </c>
      <c r="I270" s="5" t="s">
        <v>23</v>
      </c>
      <c r="J270" s="6" t="str">
        <f aca="false">HYPERLINK("https://www.rocscience.com/software/slope-stability","Official site")</f>
        <v>Official site</v>
      </c>
      <c r="K270" s="6" t="str">
        <f aca="false">HYPERLINK("https://www.rocscience.com/software/rs2","Evidence / lead")</f>
        <v>Evidence / lead</v>
      </c>
      <c r="L270" s="6" t="str">
        <f aca="false">HYPERLINK("https://www.ansys.com/products","Language source")</f>
        <v>Language source</v>
      </c>
    </row>
    <row r="271" customFormat="false" ht="23.85" hidden="false" customHeight="false" outlineLevel="0" collapsed="false">
      <c r="A271" s="5" t="s">
        <v>879</v>
      </c>
      <c r="B271" s="5" t="s">
        <v>895</v>
      </c>
      <c r="C271" s="5" t="s">
        <v>17</v>
      </c>
      <c r="D271" s="5" t="s">
        <v>896</v>
      </c>
      <c r="E271" s="5" t="s">
        <v>897</v>
      </c>
      <c r="F271" s="5" t="s">
        <v>20</v>
      </c>
      <c r="G271" s="5" t="s">
        <v>21</v>
      </c>
      <c r="H271" s="5" t="s">
        <v>22</v>
      </c>
      <c r="I271" s="5" t="s">
        <v>23</v>
      </c>
      <c r="J271" s="6" t="str">
        <f aca="false">HYPERLINK("https://www.rocscience.com/software/slope-stability","Official site")</f>
        <v>Official site</v>
      </c>
      <c r="K271" s="6" t="str">
        <f aca="false">HYPERLINK("https://www.rocscience.com/software/rs3","Evidence / lead")</f>
        <v>Evidence / lead</v>
      </c>
      <c r="L271" s="6" t="str">
        <f aca="false">HYPERLINK("https://www.ansys.com/products","Language source")</f>
        <v>Language source</v>
      </c>
    </row>
    <row r="272" customFormat="false" ht="23.85" hidden="false" customHeight="false" outlineLevel="0" collapsed="false">
      <c r="A272" s="5" t="s">
        <v>879</v>
      </c>
      <c r="B272" s="5" t="s">
        <v>898</v>
      </c>
      <c r="C272" s="5" t="s">
        <v>17</v>
      </c>
      <c r="D272" s="5" t="s">
        <v>899</v>
      </c>
      <c r="E272" s="5" t="s">
        <v>900</v>
      </c>
      <c r="F272" s="5" t="s">
        <v>20</v>
      </c>
      <c r="G272" s="5" t="s">
        <v>21</v>
      </c>
      <c r="H272" s="5" t="s">
        <v>22</v>
      </c>
      <c r="I272" s="5" t="s">
        <v>30</v>
      </c>
      <c r="J272" s="6" t="str">
        <f aca="false">HYPERLINK("https://www.itascacg.com/","Official site")</f>
        <v>Official site</v>
      </c>
      <c r="K272" s="6" t="str">
        <f aca="false">HYPERLINK("https://www.itascacg.com/","Evidence / lead")</f>
        <v>Evidence / lead</v>
      </c>
      <c r="L272" s="6" t="str">
        <f aca="false">HYPERLINK("https://www.ansys.com/products","Language source")</f>
        <v>Language source</v>
      </c>
    </row>
    <row r="273" customFormat="false" ht="23.85" hidden="false" customHeight="false" outlineLevel="0" collapsed="false">
      <c r="A273" s="5" t="s">
        <v>879</v>
      </c>
      <c r="B273" s="5" t="s">
        <v>901</v>
      </c>
      <c r="C273" s="5" t="s">
        <v>17</v>
      </c>
      <c r="D273" s="5" t="s">
        <v>902</v>
      </c>
      <c r="E273" s="5" t="s">
        <v>903</v>
      </c>
      <c r="F273" s="5" t="s">
        <v>20</v>
      </c>
      <c r="G273" s="5" t="s">
        <v>21</v>
      </c>
      <c r="H273" s="5" t="s">
        <v>22</v>
      </c>
      <c r="I273" s="5" t="s">
        <v>30</v>
      </c>
      <c r="J273" s="6" t="str">
        <f aca="false">HYPERLINK("https://www.finesoftware.eu/","Official site")</f>
        <v>Official site</v>
      </c>
      <c r="K273" s="6" t="str">
        <f aca="false">HYPERLINK("https://www.finesoftware.eu/","Evidence / lead")</f>
        <v>Evidence / lead</v>
      </c>
      <c r="L273" s="6" t="str">
        <f aca="false">HYPERLINK("https://www.ansys.com/products","Language source")</f>
        <v>Language source</v>
      </c>
    </row>
    <row r="274" customFormat="false" ht="23.85" hidden="false" customHeight="false" outlineLevel="0" collapsed="false">
      <c r="A274" s="5" t="s">
        <v>879</v>
      </c>
      <c r="B274" s="5" t="s">
        <v>904</v>
      </c>
      <c r="C274" s="5" t="s">
        <v>17</v>
      </c>
      <c r="D274" s="5" t="s">
        <v>881</v>
      </c>
      <c r="E274" s="5" t="s">
        <v>905</v>
      </c>
      <c r="F274" s="5" t="s">
        <v>20</v>
      </c>
      <c r="G274" s="5" t="s">
        <v>21</v>
      </c>
      <c r="H274" s="5" t="s">
        <v>22</v>
      </c>
      <c r="I274" s="5" t="s">
        <v>23</v>
      </c>
      <c r="J274" s="6" t="str">
        <f aca="false">HYPERLINK("https://www.midasuser.com/","Official site")</f>
        <v>Official site</v>
      </c>
      <c r="K274" s="6" t="str">
        <f aca="false">HYPERLINK("https://www.midasuser.com/","Evidence / lead")</f>
        <v>Evidence / lead</v>
      </c>
      <c r="L274" s="6" t="str">
        <f aca="false">HYPERLINK("https://www.ansys.com/products","Language source")</f>
        <v>Language source</v>
      </c>
    </row>
    <row r="275" customFormat="false" ht="23.85" hidden="false" customHeight="false" outlineLevel="0" collapsed="false">
      <c r="A275" s="5" t="s">
        <v>879</v>
      </c>
      <c r="B275" s="5" t="s">
        <v>906</v>
      </c>
      <c r="C275" s="5" t="s">
        <v>17</v>
      </c>
      <c r="D275" s="5" t="s">
        <v>907</v>
      </c>
      <c r="E275" s="5" t="s">
        <v>908</v>
      </c>
      <c r="F275" s="5" t="s">
        <v>20</v>
      </c>
      <c r="G275" s="5" t="s">
        <v>21</v>
      </c>
      <c r="H275" s="5" t="s">
        <v>22</v>
      </c>
      <c r="I275" s="5" t="s">
        <v>23</v>
      </c>
      <c r="J275" s="6" t="str">
        <f aca="false">HYPERLINK("https://www.rocscience.com/software/settle3","Official site")</f>
        <v>Official site</v>
      </c>
      <c r="K275" s="6" t="str">
        <f aca="false">HYPERLINK("https://www.rocscience.com/software/settle3","Evidence / lead")</f>
        <v>Evidence / lead</v>
      </c>
      <c r="L275" s="6" t="str">
        <f aca="false">HYPERLINK("https://www.ansys.com/products","Language source")</f>
        <v>Language source</v>
      </c>
    </row>
    <row r="276" customFormat="false" ht="23.85" hidden="false" customHeight="false" outlineLevel="0" collapsed="false">
      <c r="A276" s="5" t="s">
        <v>909</v>
      </c>
      <c r="B276" s="5" t="s">
        <v>910</v>
      </c>
      <c r="C276" s="5" t="s">
        <v>17</v>
      </c>
      <c r="D276" s="5" t="s">
        <v>911</v>
      </c>
      <c r="E276" s="5" t="s">
        <v>912</v>
      </c>
      <c r="F276" s="5" t="s">
        <v>20</v>
      </c>
      <c r="G276" s="5" t="s">
        <v>21</v>
      </c>
      <c r="H276" s="5" t="s">
        <v>22</v>
      </c>
      <c r="I276" s="5" t="s">
        <v>23</v>
      </c>
      <c r="J276" s="6" t="str">
        <f aca="false">HYPERLINK("https://www.dhigroup.com/technologies/mikepoweredbydhi/products","Official site")</f>
        <v>Official site</v>
      </c>
      <c r="K276" s="6" t="str">
        <f aca="false">HYPERLINK("https://www.dhigroup.com/technologies/mikepoweredbydhi/products","Evidence / lead")</f>
        <v>Evidence / lead</v>
      </c>
      <c r="L276" s="6" t="str">
        <f aca="false">HYPERLINK("https://www.ansys.com/products","Language source")</f>
        <v>Language source</v>
      </c>
    </row>
    <row r="277" customFormat="false" ht="23.85" hidden="false" customHeight="false" outlineLevel="0" collapsed="false">
      <c r="A277" s="5" t="s">
        <v>909</v>
      </c>
      <c r="B277" s="5" t="s">
        <v>913</v>
      </c>
      <c r="C277" s="5" t="s">
        <v>17</v>
      </c>
      <c r="D277" s="5" t="s">
        <v>914</v>
      </c>
      <c r="E277" s="5" t="s">
        <v>915</v>
      </c>
      <c r="F277" s="5" t="s">
        <v>20</v>
      </c>
      <c r="G277" s="5" t="s">
        <v>21</v>
      </c>
      <c r="H277" s="5" t="s">
        <v>22</v>
      </c>
      <c r="I277" s="5" t="s">
        <v>23</v>
      </c>
      <c r="J277" s="6" t="str">
        <f aca="false">HYPERLINK("https://www.dhigroup.com/technologies/mikepoweredbydhi/products","Official site")</f>
        <v>Official site</v>
      </c>
      <c r="K277" s="6" t="str">
        <f aca="false">HYPERLINK("https://www.dhigroup.com/technologies","Evidence / lead")</f>
        <v>Evidence / lead</v>
      </c>
      <c r="L277" s="6" t="str">
        <f aca="false">HYPERLINK("https://www.ansys.com/products","Language source")</f>
        <v>Language source</v>
      </c>
    </row>
    <row r="278" customFormat="false" ht="23.85" hidden="false" customHeight="false" outlineLevel="0" collapsed="false">
      <c r="A278" s="5" t="s">
        <v>909</v>
      </c>
      <c r="B278" s="5" t="s">
        <v>916</v>
      </c>
      <c r="C278" s="5" t="s">
        <v>17</v>
      </c>
      <c r="D278" s="5" t="s">
        <v>917</v>
      </c>
      <c r="E278" s="5" t="s">
        <v>918</v>
      </c>
      <c r="F278" s="5" t="s">
        <v>20</v>
      </c>
      <c r="G278" s="5" t="s">
        <v>21</v>
      </c>
      <c r="H278" s="5" t="s">
        <v>22</v>
      </c>
      <c r="I278" s="5" t="s">
        <v>23</v>
      </c>
      <c r="J278" s="6" t="str">
        <f aca="false">HYPERLINK("https://www.bentley.com/products/","Official site")</f>
        <v>Official site</v>
      </c>
      <c r="K278" s="6" t="str">
        <f aca="false">HYPERLINK("https://www.bentley.com/industry/water/","Evidence / lead")</f>
        <v>Evidence / lead</v>
      </c>
      <c r="L278" s="6" t="str">
        <f aca="false">HYPERLINK("https://www.ansys.com/products","Language source")</f>
        <v>Language source</v>
      </c>
    </row>
    <row r="279" customFormat="false" ht="23.85" hidden="false" customHeight="false" outlineLevel="0" collapsed="false">
      <c r="A279" s="5" t="s">
        <v>909</v>
      </c>
      <c r="B279" s="5" t="s">
        <v>919</v>
      </c>
      <c r="C279" s="5" t="s">
        <v>17</v>
      </c>
      <c r="D279" s="5" t="s">
        <v>920</v>
      </c>
      <c r="E279" s="5" t="s">
        <v>921</v>
      </c>
      <c r="F279" s="5" t="s">
        <v>20</v>
      </c>
      <c r="G279" s="5" t="s">
        <v>21</v>
      </c>
      <c r="H279" s="5" t="s">
        <v>22</v>
      </c>
      <c r="I279" s="5" t="s">
        <v>23</v>
      </c>
      <c r="J279" s="6" t="str">
        <f aca="false">HYPERLINK("https://www.bentley.com/products/","Official site")</f>
        <v>Official site</v>
      </c>
      <c r="K279" s="6" t="str">
        <f aca="false">HYPERLINK("https://www.bentley.com/products/","Evidence / lead")</f>
        <v>Evidence / lead</v>
      </c>
      <c r="L279" s="6" t="str">
        <f aca="false">HYPERLINK("https://www.ansys.com/products","Language source")</f>
        <v>Language source</v>
      </c>
    </row>
    <row r="280" customFormat="false" ht="23.85" hidden="false" customHeight="false" outlineLevel="0" collapsed="false">
      <c r="A280" s="5" t="s">
        <v>909</v>
      </c>
      <c r="B280" s="5" t="s">
        <v>922</v>
      </c>
      <c r="C280" s="5" t="s">
        <v>17</v>
      </c>
      <c r="D280" s="5" t="s">
        <v>923</v>
      </c>
      <c r="E280" s="5" t="s">
        <v>924</v>
      </c>
      <c r="F280" s="5" t="s">
        <v>20</v>
      </c>
      <c r="G280" s="5" t="s">
        <v>21</v>
      </c>
      <c r="H280" s="5" t="s">
        <v>22</v>
      </c>
      <c r="I280" s="5" t="s">
        <v>23</v>
      </c>
      <c r="J280" s="6" t="str">
        <f aca="false">HYPERLINK("https://www.autodesk.com/","Official site")</f>
        <v>Official site</v>
      </c>
      <c r="K280" s="6" t="str">
        <f aca="false">HYPERLINK("https://www.autodesk.com/products/infodrainage/overview","Evidence / lead")</f>
        <v>Evidence / lead</v>
      </c>
      <c r="L280" s="6" t="str">
        <f aca="false">HYPERLINK("https://www.ansys.com/products","Language source")</f>
        <v>Language source</v>
      </c>
    </row>
    <row r="281" customFormat="false" ht="23.85" hidden="false" customHeight="false" outlineLevel="0" collapsed="false">
      <c r="A281" s="5" t="s">
        <v>909</v>
      </c>
      <c r="B281" s="5" t="s">
        <v>925</v>
      </c>
      <c r="C281" s="5" t="s">
        <v>17</v>
      </c>
      <c r="D281" s="5" t="s">
        <v>926</v>
      </c>
      <c r="E281" s="5" t="s">
        <v>927</v>
      </c>
      <c r="F281" s="5" t="s">
        <v>20</v>
      </c>
      <c r="G281" s="5" t="s">
        <v>21</v>
      </c>
      <c r="H281" s="5" t="s">
        <v>22</v>
      </c>
      <c r="I281" s="5" t="s">
        <v>23</v>
      </c>
      <c r="J281" s="6" t="str">
        <f aca="false">HYPERLINK("https://www.autodesk.com/products/infodrainage/overview","Official site")</f>
        <v>Official site</v>
      </c>
      <c r="K281" s="6" t="str">
        <f aca="false">HYPERLINK("https://www.autodesk.com/products/infodrainage/overview","Evidence / lead")</f>
        <v>Evidence / lead</v>
      </c>
      <c r="L281" s="6" t="str">
        <f aca="false">HYPERLINK("https://www.ansys.com/products","Language source")</f>
        <v>Language source</v>
      </c>
    </row>
    <row r="282" customFormat="false" ht="23.85" hidden="false" customHeight="false" outlineLevel="0" collapsed="false">
      <c r="A282" s="5" t="s">
        <v>909</v>
      </c>
      <c r="B282" s="5" t="s">
        <v>928</v>
      </c>
      <c r="C282" s="5" t="s">
        <v>17</v>
      </c>
      <c r="D282" s="5" t="s">
        <v>929</v>
      </c>
      <c r="E282" s="5" t="s">
        <v>930</v>
      </c>
      <c r="F282" s="5" t="s">
        <v>20</v>
      </c>
      <c r="G282" s="5" t="s">
        <v>21</v>
      </c>
      <c r="H282" s="5" t="s">
        <v>22</v>
      </c>
      <c r="I282" s="5" t="s">
        <v>23</v>
      </c>
      <c r="J282" s="6" t="str">
        <f aca="false">HYPERLINK("https://www.pcswmm.com/","Official site")</f>
        <v>Official site</v>
      </c>
      <c r="K282" s="6" t="str">
        <f aca="false">HYPERLINK("https://www.pcswmm.com/","Evidence / lead")</f>
        <v>Evidence / lead</v>
      </c>
      <c r="L282" s="6" t="str">
        <f aca="false">HYPERLINK("https://www.ansys.com/products","Language source")</f>
        <v>Language source</v>
      </c>
    </row>
    <row r="283" customFormat="false" ht="23.85" hidden="false" customHeight="false" outlineLevel="0" collapsed="false">
      <c r="A283" s="5" t="s">
        <v>909</v>
      </c>
      <c r="B283" s="5" t="s">
        <v>931</v>
      </c>
      <c r="C283" s="5" t="s">
        <v>117</v>
      </c>
      <c r="D283" s="5" t="s">
        <v>932</v>
      </c>
      <c r="E283" s="5" t="s">
        <v>933</v>
      </c>
      <c r="F283" s="5" t="s">
        <v>20</v>
      </c>
      <c r="G283" s="5" t="s">
        <v>21</v>
      </c>
      <c r="H283" s="5" t="s">
        <v>22</v>
      </c>
      <c r="I283" s="5" t="s">
        <v>23</v>
      </c>
      <c r="J283" s="6" t="str">
        <f aca="false">HYPERLINK("https://www.hec.usace.army.mil/software/hec-ras/","Official site")</f>
        <v>Official site</v>
      </c>
      <c r="K283" s="6" t="str">
        <f aca="false">HYPERLINK("https://www.hec.usace.army.mil/software/hec-ras/","Evidence / lead")</f>
        <v>Evidence / lead</v>
      </c>
      <c r="L283" s="6" t="str">
        <f aca="false">HYPERLINK("https://www.ansys.com/products","Language source")</f>
        <v>Language source</v>
      </c>
    </row>
    <row r="284" customFormat="false" ht="15" hidden="false" customHeight="false" outlineLevel="0" collapsed="false">
      <c r="A284" s="5" t="s">
        <v>909</v>
      </c>
      <c r="B284" s="5" t="s">
        <v>934</v>
      </c>
      <c r="C284" s="5" t="s">
        <v>48</v>
      </c>
      <c r="D284" s="5" t="s">
        <v>935</v>
      </c>
      <c r="E284" s="5" t="s">
        <v>936</v>
      </c>
      <c r="F284" s="5" t="s">
        <v>788</v>
      </c>
      <c r="G284" s="5" t="s">
        <v>937</v>
      </c>
      <c r="H284" s="5" t="s">
        <v>790</v>
      </c>
      <c r="I284" s="5" t="s">
        <v>30</v>
      </c>
      <c r="J284" s="6" t="str">
        <f aca="false">HYPERLINK("https://github.com/USEPA/Stormwater-Management-Model","Official site")</f>
        <v>Official site</v>
      </c>
      <c r="K284" s="6" t="str">
        <f aca="false">HYPERLINK("https://github.com/USEPA/Stormwater-Management-Model","Evidence / lead")</f>
        <v>Evidence / lead</v>
      </c>
      <c r="L284" s="6" t="str">
        <f aca="false">HYPERLINK("https://github.com/USEPA/Stormwater-Management-Model","Language source")</f>
        <v>Language source</v>
      </c>
    </row>
    <row r="285" customFormat="false" ht="23.85" hidden="false" customHeight="false" outlineLevel="0" collapsed="false">
      <c r="A285" s="5" t="s">
        <v>909</v>
      </c>
      <c r="B285" s="5" t="s">
        <v>785</v>
      </c>
      <c r="C285" s="5" t="s">
        <v>48</v>
      </c>
      <c r="D285" s="5" t="s">
        <v>938</v>
      </c>
      <c r="E285" s="5" t="s">
        <v>939</v>
      </c>
      <c r="F285" s="5" t="s">
        <v>788</v>
      </c>
      <c r="G285" s="5" t="s">
        <v>789</v>
      </c>
      <c r="H285" s="5" t="s">
        <v>790</v>
      </c>
      <c r="I285" s="5" t="s">
        <v>23</v>
      </c>
      <c r="J285" s="6" t="str">
        <f aca="false">HYPERLINK("https://github.com/USEPA/epanet-engine","Official site")</f>
        <v>Official site</v>
      </c>
      <c r="K285" s="6" t="str">
        <f aca="false">HYPERLINK("https://github.com/USEPA/epanet-engine","Evidence / lead")</f>
        <v>Evidence / lead</v>
      </c>
      <c r="L285" s="6" t="str">
        <f aca="false">HYPERLINK("https://github.com/USEPA/epanet-engine","Language source")</f>
        <v>Language source</v>
      </c>
    </row>
    <row r="286" customFormat="false" ht="23.85" hidden="false" customHeight="false" outlineLevel="0" collapsed="false">
      <c r="A286" s="5" t="s">
        <v>940</v>
      </c>
      <c r="B286" s="5" t="s">
        <v>941</v>
      </c>
      <c r="C286" s="5" t="s">
        <v>17</v>
      </c>
      <c r="D286" s="5" t="s">
        <v>942</v>
      </c>
      <c r="E286" s="5" t="s">
        <v>943</v>
      </c>
      <c r="F286" s="5" t="s">
        <v>242</v>
      </c>
      <c r="G286" s="5" t="s">
        <v>243</v>
      </c>
      <c r="H286" s="5" t="s">
        <v>22</v>
      </c>
      <c r="I286" s="5" t="s">
        <v>23</v>
      </c>
      <c r="J286" s="6" t="str">
        <f aca="false">HYPERLINK("https://www.autodesk.com/collections","Official site")</f>
        <v>Official site</v>
      </c>
      <c r="K286" s="6" t="str">
        <f aca="false">HYPERLINK("https://www.autodesk.com/products/civil-3d/overview","Evidence / lead")</f>
        <v>Evidence / lead</v>
      </c>
      <c r="L286" s="6" t="str">
        <f aca="false">HYPERLINK("https://www.ptc.com/en/products/creo","Language source")</f>
        <v>Language source</v>
      </c>
    </row>
    <row r="287" customFormat="false" ht="23.85" hidden="false" customHeight="false" outlineLevel="0" collapsed="false">
      <c r="A287" s="5" t="s">
        <v>940</v>
      </c>
      <c r="B287" s="5" t="s">
        <v>944</v>
      </c>
      <c r="C287" s="5" t="s">
        <v>17</v>
      </c>
      <c r="D287" s="5" t="s">
        <v>945</v>
      </c>
      <c r="E287" s="5" t="s">
        <v>946</v>
      </c>
      <c r="F287" s="5" t="s">
        <v>242</v>
      </c>
      <c r="G287" s="5" t="s">
        <v>243</v>
      </c>
      <c r="H287" s="5" t="s">
        <v>22</v>
      </c>
      <c r="I287" s="5" t="s">
        <v>23</v>
      </c>
      <c r="J287" s="6" t="str">
        <f aca="false">HYPERLINK("https://www.bentley.com/products/","Official site")</f>
        <v>Official site</v>
      </c>
      <c r="K287" s="6" t="str">
        <f aca="false">HYPERLINK("https://www.bentley.com/products/","Evidence / lead")</f>
        <v>Evidence / lead</v>
      </c>
      <c r="L287" s="6" t="str">
        <f aca="false">HYPERLINK("https://www.ptc.com/en/products/creo","Language source")</f>
        <v>Language source</v>
      </c>
    </row>
    <row r="288" customFormat="false" ht="23.85" hidden="false" customHeight="false" outlineLevel="0" collapsed="false">
      <c r="A288" s="5" t="s">
        <v>940</v>
      </c>
      <c r="B288" s="5" t="s">
        <v>947</v>
      </c>
      <c r="C288" s="5" t="s">
        <v>17</v>
      </c>
      <c r="D288" s="5" t="s">
        <v>948</v>
      </c>
      <c r="E288" s="5" t="s">
        <v>949</v>
      </c>
      <c r="F288" s="5" t="s">
        <v>242</v>
      </c>
      <c r="G288" s="5" t="s">
        <v>243</v>
      </c>
      <c r="H288" s="5" t="s">
        <v>22</v>
      </c>
      <c r="I288" s="5" t="s">
        <v>30</v>
      </c>
      <c r="J288" s="6" t="str">
        <f aca="false">HYPERLINK("https://www.bentley.com/products/","Official site")</f>
        <v>Official site</v>
      </c>
      <c r="K288" s="6" t="str">
        <f aca="false">HYPERLINK("https://www.bentley.com/products/","Evidence / lead")</f>
        <v>Evidence / lead</v>
      </c>
      <c r="L288" s="6" t="str">
        <f aca="false">HYPERLINK("https://www.ptc.com/en/products/creo","Language source")</f>
        <v>Language source</v>
      </c>
    </row>
    <row r="289" customFormat="false" ht="23.85" hidden="false" customHeight="false" outlineLevel="0" collapsed="false">
      <c r="A289" s="5" t="s">
        <v>940</v>
      </c>
      <c r="B289" s="5" t="s">
        <v>950</v>
      </c>
      <c r="C289" s="5" t="s">
        <v>17</v>
      </c>
      <c r="D289" s="5" t="s">
        <v>951</v>
      </c>
      <c r="E289" s="5" t="s">
        <v>952</v>
      </c>
      <c r="F289" s="5" t="s">
        <v>242</v>
      </c>
      <c r="G289" s="5" t="s">
        <v>243</v>
      </c>
      <c r="H289" s="5" t="s">
        <v>22</v>
      </c>
      <c r="I289" s="5" t="s">
        <v>23</v>
      </c>
      <c r="J289" s="6" t="str">
        <f aca="false">HYPERLINK("https://www.12d.com/","Official site")</f>
        <v>Official site</v>
      </c>
      <c r="K289" s="6" t="str">
        <f aca="false">HYPERLINK("https://www.12d.com/","Evidence / lead")</f>
        <v>Evidence / lead</v>
      </c>
      <c r="L289" s="6" t="str">
        <f aca="false">HYPERLINK("https://www.ptc.com/en/products/creo","Language source")</f>
        <v>Language source</v>
      </c>
    </row>
    <row r="290" customFormat="false" ht="23.85" hidden="false" customHeight="false" outlineLevel="0" collapsed="false">
      <c r="A290" s="5" t="s">
        <v>940</v>
      </c>
      <c r="B290" s="5" t="s">
        <v>953</v>
      </c>
      <c r="C290" s="5" t="s">
        <v>17</v>
      </c>
      <c r="D290" s="5" t="s">
        <v>954</v>
      </c>
      <c r="E290" s="5" t="s">
        <v>955</v>
      </c>
      <c r="F290" s="5" t="s">
        <v>242</v>
      </c>
      <c r="G290" s="5" t="s">
        <v>243</v>
      </c>
      <c r="H290" s="5" t="s">
        <v>22</v>
      </c>
      <c r="I290" s="5" t="s">
        <v>37</v>
      </c>
      <c r="J290" s="6" t="str">
        <f aca="false">HYPERLINK("https://novapoint.com/","Official site")</f>
        <v>Official site</v>
      </c>
      <c r="K290" s="6" t="str">
        <f aca="false">HYPERLINK("https://novapoint.com/","Evidence / lead")</f>
        <v>Evidence / lead</v>
      </c>
      <c r="L290" s="6" t="str">
        <f aca="false">HYPERLINK("https://www.ptc.com/en/products/creo","Language source")</f>
        <v>Language source</v>
      </c>
    </row>
    <row r="291" customFormat="false" ht="23.85" hidden="false" customHeight="false" outlineLevel="0" collapsed="false">
      <c r="A291" s="5" t="s">
        <v>940</v>
      </c>
      <c r="B291" s="5" t="s">
        <v>956</v>
      </c>
      <c r="C291" s="5" t="s">
        <v>17</v>
      </c>
      <c r="D291" s="5" t="s">
        <v>957</v>
      </c>
      <c r="E291" s="5" t="s">
        <v>958</v>
      </c>
      <c r="F291" s="5" t="s">
        <v>242</v>
      </c>
      <c r="G291" s="5" t="s">
        <v>243</v>
      </c>
      <c r="H291" s="5" t="s">
        <v>22</v>
      </c>
      <c r="I291" s="5" t="s">
        <v>23</v>
      </c>
      <c r="J291" s="6" t="str">
        <f aca="false">HYPERLINK("https://construction.trimble.com/","Official site")</f>
        <v>Official site</v>
      </c>
      <c r="K291" s="6" t="str">
        <f aca="false">HYPERLINK("https://construction.trimble.com/","Evidence / lead")</f>
        <v>Evidence / lead</v>
      </c>
      <c r="L291" s="6" t="str">
        <f aca="false">HYPERLINK("https://www.ptc.com/en/products/creo","Language source")</f>
        <v>Language source</v>
      </c>
    </row>
    <row r="292" customFormat="false" ht="23.85" hidden="false" customHeight="false" outlineLevel="0" collapsed="false">
      <c r="A292" s="5" t="s">
        <v>940</v>
      </c>
      <c r="B292" s="5" t="s">
        <v>959</v>
      </c>
      <c r="C292" s="5" t="s">
        <v>17</v>
      </c>
      <c r="D292" s="5" t="s">
        <v>960</v>
      </c>
      <c r="E292" s="5" t="s">
        <v>961</v>
      </c>
      <c r="F292" s="5" t="s">
        <v>242</v>
      </c>
      <c r="G292" s="5" t="s">
        <v>243</v>
      </c>
      <c r="H292" s="5" t="s">
        <v>22</v>
      </c>
      <c r="I292" s="5" t="s">
        <v>23</v>
      </c>
      <c r="J292" s="6" t="str">
        <f aca="false">HYPERLINK("https://www.carlsonsw.com/","Official site")</f>
        <v>Official site</v>
      </c>
      <c r="K292" s="6" t="str">
        <f aca="false">HYPERLINK("https://www.carlsonsw.com/","Evidence / lead")</f>
        <v>Evidence / lead</v>
      </c>
      <c r="L292" s="6" t="str">
        <f aca="false">HYPERLINK("https://www.ptc.com/en/products/creo","Language source")</f>
        <v>Language source</v>
      </c>
    </row>
    <row r="293" customFormat="false" ht="23.85" hidden="false" customHeight="false" outlineLevel="0" collapsed="false">
      <c r="A293" s="5" t="s">
        <v>940</v>
      </c>
      <c r="B293" s="5" t="s">
        <v>962</v>
      </c>
      <c r="C293" s="5" t="s">
        <v>17</v>
      </c>
      <c r="D293" s="5" t="s">
        <v>963</v>
      </c>
      <c r="E293" s="5" t="s">
        <v>964</v>
      </c>
      <c r="F293" s="5" t="s">
        <v>242</v>
      </c>
      <c r="G293" s="5" t="s">
        <v>243</v>
      </c>
      <c r="H293" s="5" t="s">
        <v>22</v>
      </c>
      <c r="I293" s="5" t="s">
        <v>37</v>
      </c>
      <c r="J293" s="6" t="str">
        <f aca="false">HYPERLINK("https://www.civilsitedesign.com/","Official site")</f>
        <v>Official site</v>
      </c>
      <c r="K293" s="6" t="str">
        <f aca="false">HYPERLINK("https://www.civilsitedesign.com/","Evidence / lead")</f>
        <v>Evidence / lead</v>
      </c>
      <c r="L293" s="6" t="str">
        <f aca="false">HYPERLINK("https://www.ptc.com/en/products/creo","Language source")</f>
        <v>Language source</v>
      </c>
    </row>
    <row r="294" customFormat="false" ht="23.85" hidden="false" customHeight="false" outlineLevel="0" collapsed="false">
      <c r="A294" s="5" t="s">
        <v>940</v>
      </c>
      <c r="B294" s="5" t="s">
        <v>965</v>
      </c>
      <c r="C294" s="5" t="s">
        <v>17</v>
      </c>
      <c r="D294" s="5" t="s">
        <v>966</v>
      </c>
      <c r="E294" s="5" t="s">
        <v>967</v>
      </c>
      <c r="F294" s="5" t="s">
        <v>242</v>
      </c>
      <c r="G294" s="5" t="s">
        <v>243</v>
      </c>
      <c r="H294" s="5" t="s">
        <v>22</v>
      </c>
      <c r="I294" s="5" t="s">
        <v>23</v>
      </c>
      <c r="J294" s="6" t="str">
        <f aca="false">HYPERLINK("https://cgs-labs.com/","Official site")</f>
        <v>Official site</v>
      </c>
      <c r="K294" s="6" t="str">
        <f aca="false">HYPERLINK("https://cgs-labs.com/","Evidence / lead")</f>
        <v>Evidence / lead</v>
      </c>
      <c r="L294" s="6" t="str">
        <f aca="false">HYPERLINK("https://www.ptc.com/en/products/creo","Language source")</f>
        <v>Language source</v>
      </c>
    </row>
    <row r="295" customFormat="false" ht="23.85" hidden="false" customHeight="false" outlineLevel="0" collapsed="false">
      <c r="A295" s="5" t="s">
        <v>940</v>
      </c>
      <c r="B295" s="5" t="s">
        <v>968</v>
      </c>
      <c r="C295" s="5" t="s">
        <v>17</v>
      </c>
      <c r="D295" s="5" t="s">
        <v>969</v>
      </c>
      <c r="E295" s="5" t="s">
        <v>970</v>
      </c>
      <c r="F295" s="5" t="s">
        <v>242</v>
      </c>
      <c r="G295" s="5" t="s">
        <v>243</v>
      </c>
      <c r="H295" s="5" t="s">
        <v>22</v>
      </c>
      <c r="I295" s="5" t="s">
        <v>30</v>
      </c>
      <c r="J295" s="6" t="str">
        <f aca="false">HYPERLINK("https://www.autodesk.com/","Official site")</f>
        <v>Official site</v>
      </c>
      <c r="K295" s="6" t="str">
        <f aca="false">HYPERLINK("https://www.autodesk.com/products/infodrainage/overview","Evidence / lead")</f>
        <v>Evidence / lead</v>
      </c>
      <c r="L295" s="6" t="str">
        <f aca="false">HYPERLINK("https://www.ptc.com/en/products/creo","Language source")</f>
        <v>Language source</v>
      </c>
    </row>
    <row r="296" customFormat="false" ht="23.85" hidden="false" customHeight="false" outlineLevel="0" collapsed="false">
      <c r="A296" s="5" t="s">
        <v>971</v>
      </c>
      <c r="B296" s="5" t="s">
        <v>972</v>
      </c>
      <c r="C296" s="5" t="s">
        <v>17</v>
      </c>
      <c r="D296" s="5" t="s">
        <v>973</v>
      </c>
      <c r="E296" s="5" t="s">
        <v>974</v>
      </c>
      <c r="F296" s="5" t="s">
        <v>20</v>
      </c>
      <c r="G296" s="5" t="s">
        <v>21</v>
      </c>
      <c r="H296" s="5" t="s">
        <v>22</v>
      </c>
      <c r="I296" s="5" t="s">
        <v>23</v>
      </c>
      <c r="J296" s="6" t="str">
        <f aca="false">HYPERLINK("https://www.ptvgroup.com/en/products/ptv-vissim","Official site")</f>
        <v>Official site</v>
      </c>
      <c r="K296" s="6" t="str">
        <f aca="false">HYPERLINK("https://www.ptvgroup.com/en/products/ptv-vissim","Evidence / lead")</f>
        <v>Evidence / lead</v>
      </c>
      <c r="L296" s="6" t="str">
        <f aca="false">HYPERLINK("https://www.ansys.com/products","Language source")</f>
        <v>Language source</v>
      </c>
    </row>
    <row r="297" customFormat="false" ht="23.85" hidden="false" customHeight="false" outlineLevel="0" collapsed="false">
      <c r="A297" s="5" t="s">
        <v>971</v>
      </c>
      <c r="B297" s="5" t="s">
        <v>975</v>
      </c>
      <c r="C297" s="5" t="s">
        <v>17</v>
      </c>
      <c r="D297" s="5" t="s">
        <v>976</v>
      </c>
      <c r="E297" s="5" t="s">
        <v>977</v>
      </c>
      <c r="F297" s="5" t="s">
        <v>20</v>
      </c>
      <c r="G297" s="5" t="s">
        <v>21</v>
      </c>
      <c r="H297" s="5" t="s">
        <v>22</v>
      </c>
      <c r="I297" s="5" t="s">
        <v>23</v>
      </c>
      <c r="J297" s="6" t="str">
        <f aca="false">HYPERLINK("https://www.ptvgroup.com/","Official site")</f>
        <v>Official site</v>
      </c>
      <c r="K297" s="6" t="str">
        <f aca="false">HYPERLINK("https://www.ptvgroup.com/en-us/products/ptv-visum","Evidence / lead")</f>
        <v>Evidence / lead</v>
      </c>
      <c r="L297" s="6" t="str">
        <f aca="false">HYPERLINK("https://www.ansys.com/products","Language source")</f>
        <v>Language source</v>
      </c>
    </row>
    <row r="298" customFormat="false" ht="23.85" hidden="false" customHeight="false" outlineLevel="0" collapsed="false">
      <c r="A298" s="5" t="s">
        <v>971</v>
      </c>
      <c r="B298" s="5" t="s">
        <v>978</v>
      </c>
      <c r="C298" s="5" t="s">
        <v>17</v>
      </c>
      <c r="D298" s="5" t="s">
        <v>979</v>
      </c>
      <c r="E298" s="5" t="s">
        <v>980</v>
      </c>
      <c r="F298" s="5" t="s">
        <v>20</v>
      </c>
      <c r="G298" s="5" t="s">
        <v>21</v>
      </c>
      <c r="H298" s="5" t="s">
        <v>22</v>
      </c>
      <c r="I298" s="5" t="s">
        <v>23</v>
      </c>
      <c r="J298" s="6" t="str">
        <f aca="false">HYPERLINK("https://www.aimsun.com/","Official site")</f>
        <v>Official site</v>
      </c>
      <c r="K298" s="6" t="str">
        <f aca="false">HYPERLINK("https://www.aimsun.com/","Evidence / lead")</f>
        <v>Evidence / lead</v>
      </c>
      <c r="L298" s="6" t="str">
        <f aca="false">HYPERLINK("https://www.ansys.com/products","Language source")</f>
        <v>Language source</v>
      </c>
    </row>
    <row r="299" customFormat="false" ht="23.85" hidden="false" customHeight="false" outlineLevel="0" collapsed="false">
      <c r="A299" s="5" t="s">
        <v>971</v>
      </c>
      <c r="B299" s="5" t="s">
        <v>981</v>
      </c>
      <c r="C299" s="5" t="s">
        <v>17</v>
      </c>
      <c r="D299" s="5" t="s">
        <v>982</v>
      </c>
      <c r="E299" s="5" t="s">
        <v>983</v>
      </c>
      <c r="F299" s="5" t="s">
        <v>20</v>
      </c>
      <c r="G299" s="5" t="s">
        <v>21</v>
      </c>
      <c r="H299" s="5" t="s">
        <v>22</v>
      </c>
      <c r="I299" s="5" t="s">
        <v>30</v>
      </c>
      <c r="J299" s="6" t="str">
        <f aca="false">HYPERLINK("https://www.caliper.com/","Official site")</f>
        <v>Official site</v>
      </c>
      <c r="K299" s="6" t="str">
        <f aca="false">HYPERLINK("https://www.caliper.com/","Evidence / lead")</f>
        <v>Evidence / lead</v>
      </c>
      <c r="L299" s="6" t="str">
        <f aca="false">HYPERLINK("https://www.ansys.com/products","Language source")</f>
        <v>Language source</v>
      </c>
    </row>
    <row r="300" customFormat="false" ht="23.85" hidden="false" customHeight="false" outlineLevel="0" collapsed="false">
      <c r="A300" s="5" t="s">
        <v>971</v>
      </c>
      <c r="B300" s="5" t="s">
        <v>984</v>
      </c>
      <c r="C300" s="5" t="s">
        <v>17</v>
      </c>
      <c r="D300" s="5" t="s">
        <v>985</v>
      </c>
      <c r="E300" s="5" t="s">
        <v>986</v>
      </c>
      <c r="F300" s="5" t="s">
        <v>20</v>
      </c>
      <c r="G300" s="5" t="s">
        <v>21</v>
      </c>
      <c r="H300" s="5" t="s">
        <v>22</v>
      </c>
      <c r="I300" s="5" t="s">
        <v>23</v>
      </c>
      <c r="J300" s="6" t="str">
        <f aca="false">HYPERLINK("https://www.caliper.com/","Official site")</f>
        <v>Official site</v>
      </c>
      <c r="K300" s="6" t="str">
        <f aca="false">HYPERLINK("https://www.caliper.com/","Evidence / lead")</f>
        <v>Evidence / lead</v>
      </c>
      <c r="L300" s="6" t="str">
        <f aca="false">HYPERLINK("https://www.ansys.com/products","Language source")</f>
        <v>Language source</v>
      </c>
    </row>
    <row r="301" customFormat="false" ht="23.85" hidden="false" customHeight="false" outlineLevel="0" collapsed="false">
      <c r="A301" s="5" t="s">
        <v>971</v>
      </c>
      <c r="B301" s="5" t="s">
        <v>987</v>
      </c>
      <c r="C301" s="5" t="s">
        <v>17</v>
      </c>
      <c r="D301" s="5" t="s">
        <v>988</v>
      </c>
      <c r="E301" s="5" t="s">
        <v>989</v>
      </c>
      <c r="F301" s="5" t="s">
        <v>20</v>
      </c>
      <c r="G301" s="5" t="s">
        <v>21</v>
      </c>
      <c r="H301" s="5" t="s">
        <v>22</v>
      </c>
      <c r="I301" s="5" t="s">
        <v>23</v>
      </c>
      <c r="J301" s="6" t="str">
        <f aca="false">HYPERLINK("https://www.sidrasolutions.com/","Official site")</f>
        <v>Official site</v>
      </c>
      <c r="K301" s="6" t="str">
        <f aca="false">HYPERLINK("https://www.sidrasolutions.com/","Evidence / lead")</f>
        <v>Evidence / lead</v>
      </c>
      <c r="L301" s="6" t="str">
        <f aca="false">HYPERLINK("https://www.ansys.com/products","Language source")</f>
        <v>Language source</v>
      </c>
    </row>
    <row r="302" customFormat="false" ht="23.85" hidden="false" customHeight="false" outlineLevel="0" collapsed="false">
      <c r="A302" s="5" t="s">
        <v>971</v>
      </c>
      <c r="B302" s="5" t="s">
        <v>990</v>
      </c>
      <c r="C302" s="5" t="s">
        <v>17</v>
      </c>
      <c r="D302" s="5" t="s">
        <v>991</v>
      </c>
      <c r="E302" s="5" t="s">
        <v>992</v>
      </c>
      <c r="F302" s="5" t="s">
        <v>20</v>
      </c>
      <c r="G302" s="5" t="s">
        <v>21</v>
      </c>
      <c r="H302" s="5" t="s">
        <v>22</v>
      </c>
      <c r="I302" s="5" t="s">
        <v>30</v>
      </c>
      <c r="J302" s="6" t="str">
        <f aca="false">HYPERLINK("https://www.cubic.com/","Official site")</f>
        <v>Official site</v>
      </c>
      <c r="K302" s="6" t="str">
        <f aca="false">HYPERLINK("https://www.cubic.com/","Evidence / lead")</f>
        <v>Evidence / lead</v>
      </c>
      <c r="L302" s="6" t="str">
        <f aca="false">HYPERLINK("https://www.ansys.com/products","Language source")</f>
        <v>Language source</v>
      </c>
    </row>
    <row r="303" customFormat="false" ht="23.85" hidden="false" customHeight="false" outlineLevel="0" collapsed="false">
      <c r="A303" s="5" t="s">
        <v>971</v>
      </c>
      <c r="B303" s="5" t="s">
        <v>993</v>
      </c>
      <c r="C303" s="5" t="s">
        <v>17</v>
      </c>
      <c r="D303" s="5" t="s">
        <v>994</v>
      </c>
      <c r="E303" s="5" t="s">
        <v>995</v>
      </c>
      <c r="F303" s="5" t="s">
        <v>20</v>
      </c>
      <c r="G303" s="5" t="s">
        <v>21</v>
      </c>
      <c r="H303" s="5" t="s">
        <v>22</v>
      </c>
      <c r="I303" s="5" t="s">
        <v>23</v>
      </c>
      <c r="J303" s="6" t="str">
        <f aca="false">HYPERLINK("https://www.ptvgroup.com/","Official site")</f>
        <v>Official site</v>
      </c>
      <c r="K303" s="6" t="str">
        <f aca="false">HYPERLINK("https://www.ptvgroup.com/en/products/traffic-engineering-software-ptv-vistro","Evidence / lead")</f>
        <v>Evidence / lead</v>
      </c>
      <c r="L303" s="6" t="str">
        <f aca="false">HYPERLINK("https://www.ansys.com/products","Language source")</f>
        <v>Language source</v>
      </c>
    </row>
    <row r="304" customFormat="false" ht="23.85" hidden="false" customHeight="false" outlineLevel="0" collapsed="false">
      <c r="A304" s="5" t="s">
        <v>971</v>
      </c>
      <c r="B304" s="5" t="s">
        <v>996</v>
      </c>
      <c r="C304" s="5" t="s">
        <v>48</v>
      </c>
      <c r="D304" s="5" t="s">
        <v>997</v>
      </c>
      <c r="E304" s="5" t="s">
        <v>998</v>
      </c>
      <c r="F304" s="5" t="s">
        <v>151</v>
      </c>
      <c r="G304" s="5" t="s">
        <v>152</v>
      </c>
      <c r="H304" s="5" t="s">
        <v>153</v>
      </c>
      <c r="I304" s="5" t="s">
        <v>23</v>
      </c>
      <c r="J304" s="6" t="str">
        <f aca="false">HYPERLINK("https://eclipse.dev/sumo/","Official site")</f>
        <v>Official site</v>
      </c>
      <c r="K304" s="6" t="str">
        <f aca="false">HYPERLINK("https://eclipse.dev/sumo/","Evidence / lead")</f>
        <v>Evidence / lead</v>
      </c>
      <c r="L304" s="6" t="str">
        <f aca="false">HYPERLINK("https://eclipse.dev/sumo/","Language source")</f>
        <v>Language source</v>
      </c>
    </row>
    <row r="305" customFormat="false" ht="23.85" hidden="false" customHeight="false" outlineLevel="0" collapsed="false">
      <c r="A305" s="5" t="s">
        <v>971</v>
      </c>
      <c r="B305" s="5" t="s">
        <v>999</v>
      </c>
      <c r="C305" s="5" t="s">
        <v>48</v>
      </c>
      <c r="D305" s="5" t="s">
        <v>1000</v>
      </c>
      <c r="E305" s="5" t="s">
        <v>1001</v>
      </c>
      <c r="F305" s="5" t="s">
        <v>151</v>
      </c>
      <c r="G305" s="5" t="s">
        <v>152</v>
      </c>
      <c r="H305" s="5" t="s">
        <v>153</v>
      </c>
      <c r="I305" s="5" t="s">
        <v>23</v>
      </c>
      <c r="J305" s="6" t="str">
        <f aca="false">HYPERLINK("https://www.matsim.org/","Official site")</f>
        <v>Official site</v>
      </c>
      <c r="K305" s="6" t="str">
        <f aca="false">HYPERLINK("https://www.matsim.org/","Evidence / lead")</f>
        <v>Evidence / lead</v>
      </c>
      <c r="L305" s="6" t="str">
        <f aca="false">HYPERLINK("https://www.matsim.org/","Language source")</f>
        <v>Language source</v>
      </c>
    </row>
    <row r="306" customFormat="false" ht="23.85" hidden="false" customHeight="false" outlineLevel="0" collapsed="false">
      <c r="A306" s="5" t="s">
        <v>1002</v>
      </c>
      <c r="B306" s="5" t="s">
        <v>1003</v>
      </c>
      <c r="C306" s="5" t="s">
        <v>17</v>
      </c>
      <c r="D306" s="5" t="s">
        <v>1004</v>
      </c>
      <c r="E306" s="5" t="s">
        <v>1005</v>
      </c>
      <c r="F306" s="5" t="s">
        <v>242</v>
      </c>
      <c r="G306" s="5" t="s">
        <v>243</v>
      </c>
      <c r="H306" s="5" t="s">
        <v>22</v>
      </c>
      <c r="I306" s="5" t="s">
        <v>23</v>
      </c>
      <c r="J306" s="6" t="str">
        <f aca="false">HYPERLINK("https://www.autodesk.com/collections","Official site")</f>
        <v>Official site</v>
      </c>
      <c r="K306" s="6" t="str">
        <f aca="false">HYPERLINK("https://www.autodesk.com/collections","Evidence / lead")</f>
        <v>Evidence / lead</v>
      </c>
      <c r="L306" s="6" t="str">
        <f aca="false">HYPERLINK("https://www.ptc.com/en/products/creo","Language source")</f>
        <v>Language source</v>
      </c>
    </row>
    <row r="307" customFormat="false" ht="23.85" hidden="false" customHeight="false" outlineLevel="0" collapsed="false">
      <c r="A307" s="5" t="s">
        <v>1002</v>
      </c>
      <c r="B307" s="5" t="s">
        <v>1006</v>
      </c>
      <c r="C307" s="5" t="s">
        <v>17</v>
      </c>
      <c r="D307" s="5" t="s">
        <v>1007</v>
      </c>
      <c r="E307" s="5" t="s">
        <v>1008</v>
      </c>
      <c r="F307" s="5" t="s">
        <v>242</v>
      </c>
      <c r="G307" s="5" t="s">
        <v>243</v>
      </c>
      <c r="H307" s="5" t="s">
        <v>22</v>
      </c>
      <c r="I307" s="5" t="s">
        <v>23</v>
      </c>
      <c r="J307" s="6" t="str">
        <f aca="false">HYPERLINK("https://www.tekla.com/","Official site")</f>
        <v>Official site</v>
      </c>
      <c r="K307" s="6" t="str">
        <f aca="false">HYPERLINK("https://www.tekla.com/","Evidence / lead")</f>
        <v>Evidence / lead</v>
      </c>
      <c r="L307" s="6" t="str">
        <f aca="false">HYPERLINK("https://www.ptc.com/en/products/creo","Language source")</f>
        <v>Language source</v>
      </c>
    </row>
    <row r="308" customFormat="false" ht="23.85" hidden="false" customHeight="false" outlineLevel="0" collapsed="false">
      <c r="A308" s="5" t="s">
        <v>1002</v>
      </c>
      <c r="B308" s="5" t="s">
        <v>1009</v>
      </c>
      <c r="C308" s="5" t="s">
        <v>17</v>
      </c>
      <c r="D308" s="5" t="s">
        <v>1010</v>
      </c>
      <c r="E308" s="5" t="s">
        <v>1011</v>
      </c>
      <c r="F308" s="5" t="s">
        <v>242</v>
      </c>
      <c r="G308" s="5" t="s">
        <v>243</v>
      </c>
      <c r="H308" s="5" t="s">
        <v>22</v>
      </c>
      <c r="I308" s="5" t="s">
        <v>30</v>
      </c>
      <c r="J308" s="6" t="str">
        <f aca="false">HYPERLINK("https://graphisoft.com/","Official site")</f>
        <v>Official site</v>
      </c>
      <c r="K308" s="6" t="str">
        <f aca="false">HYPERLINK("https://graphisoft.com/","Evidence / lead")</f>
        <v>Evidence / lead</v>
      </c>
      <c r="L308" s="6" t="str">
        <f aca="false">HYPERLINK("https://www.ptc.com/en/products/creo","Language source")</f>
        <v>Language source</v>
      </c>
    </row>
    <row r="309" customFormat="false" ht="23.85" hidden="false" customHeight="false" outlineLevel="0" collapsed="false">
      <c r="A309" s="5" t="s">
        <v>1002</v>
      </c>
      <c r="B309" s="5" t="s">
        <v>1012</v>
      </c>
      <c r="C309" s="5" t="s">
        <v>17</v>
      </c>
      <c r="D309" s="5" t="s">
        <v>1013</v>
      </c>
      <c r="E309" s="5" t="s">
        <v>1014</v>
      </c>
      <c r="F309" s="5" t="s">
        <v>242</v>
      </c>
      <c r="G309" s="5" t="s">
        <v>243</v>
      </c>
      <c r="H309" s="5" t="s">
        <v>22</v>
      </c>
      <c r="I309" s="5" t="s">
        <v>30</v>
      </c>
      <c r="J309" s="6" t="str">
        <f aca="false">HYPERLINK("https://www.bentley.com/products/","Official site")</f>
        <v>Official site</v>
      </c>
      <c r="K309" s="6" t="str">
        <f aca="false">HYPERLINK("https://www.bentley.com/products/","Evidence / lead")</f>
        <v>Evidence / lead</v>
      </c>
      <c r="L309" s="6" t="str">
        <f aca="false">HYPERLINK("https://www.ptc.com/en/products/creo","Language source")</f>
        <v>Language source</v>
      </c>
    </row>
    <row r="310" customFormat="false" ht="23.85" hidden="false" customHeight="false" outlineLevel="0" collapsed="false">
      <c r="A310" s="5" t="s">
        <v>1002</v>
      </c>
      <c r="B310" s="5" t="s">
        <v>1015</v>
      </c>
      <c r="C310" s="5" t="s">
        <v>17</v>
      </c>
      <c r="D310" s="5" t="s">
        <v>1016</v>
      </c>
      <c r="E310" s="5" t="s">
        <v>1017</v>
      </c>
      <c r="F310" s="5" t="s">
        <v>242</v>
      </c>
      <c r="G310" s="5" t="s">
        <v>243</v>
      </c>
      <c r="H310" s="5" t="s">
        <v>22</v>
      </c>
      <c r="I310" s="5" t="s">
        <v>23</v>
      </c>
      <c r="J310" s="6" t="str">
        <f aca="false">HYPERLINK("https://www.autodesk.com/","Official site")</f>
        <v>Official site</v>
      </c>
      <c r="K310" s="6" t="str">
        <f aca="false">HYPERLINK("https://www.autodesk.com/products/civil-3d/overview","Evidence / lead")</f>
        <v>Evidence / lead</v>
      </c>
      <c r="L310" s="6" t="str">
        <f aca="false">HYPERLINK("https://www.ptc.com/en/products/creo","Language source")</f>
        <v>Language source</v>
      </c>
    </row>
    <row r="311" customFormat="false" ht="23.85" hidden="false" customHeight="false" outlineLevel="0" collapsed="false">
      <c r="A311" s="5" t="s">
        <v>1002</v>
      </c>
      <c r="B311" s="5" t="s">
        <v>1018</v>
      </c>
      <c r="C311" s="5" t="s">
        <v>17</v>
      </c>
      <c r="D311" s="5" t="s">
        <v>1019</v>
      </c>
      <c r="E311" s="5" t="s">
        <v>1020</v>
      </c>
      <c r="F311" s="5" t="s">
        <v>242</v>
      </c>
      <c r="G311" s="5" t="s">
        <v>243</v>
      </c>
      <c r="H311" s="5" t="s">
        <v>22</v>
      </c>
      <c r="I311" s="5" t="s">
        <v>23</v>
      </c>
      <c r="J311" s="6" t="str">
        <f aca="false">HYPERLINK("https://www.solibri.com/","Official site")</f>
        <v>Official site</v>
      </c>
      <c r="K311" s="6" t="str">
        <f aca="false">HYPERLINK("https://www.solibri.com/","Evidence / lead")</f>
        <v>Evidence / lead</v>
      </c>
      <c r="L311" s="6" t="str">
        <f aca="false">HYPERLINK("https://www.ptc.com/en/products/creo","Language source")</f>
        <v>Language source</v>
      </c>
    </row>
    <row r="312" customFormat="false" ht="23.85" hidden="false" customHeight="false" outlineLevel="0" collapsed="false">
      <c r="A312" s="5" t="s">
        <v>1002</v>
      </c>
      <c r="B312" s="5" t="s">
        <v>1021</v>
      </c>
      <c r="C312" s="5" t="s">
        <v>17</v>
      </c>
      <c r="D312" s="5" t="s">
        <v>1022</v>
      </c>
      <c r="E312" s="5" t="s">
        <v>1023</v>
      </c>
      <c r="F312" s="5" t="s">
        <v>242</v>
      </c>
      <c r="G312" s="5" t="s">
        <v>243</v>
      </c>
      <c r="H312" s="5" t="s">
        <v>22</v>
      </c>
      <c r="I312" s="5" t="s">
        <v>23</v>
      </c>
      <c r="J312" s="6" t="str">
        <f aca="false">HYPERLINK("https://www.bentley.com/products/","Official site")</f>
        <v>Official site</v>
      </c>
      <c r="K312" s="6" t="str">
        <f aca="false">HYPERLINK("https://www.bentley.com/products/","Evidence / lead")</f>
        <v>Evidence / lead</v>
      </c>
      <c r="L312" s="6" t="str">
        <f aca="false">HYPERLINK("https://www.ptc.com/en/products/creo","Language source")</f>
        <v>Language source</v>
      </c>
    </row>
    <row r="313" customFormat="false" ht="23.85" hidden="false" customHeight="false" outlineLevel="0" collapsed="false">
      <c r="A313" s="5" t="s">
        <v>1002</v>
      </c>
      <c r="B313" s="5" t="s">
        <v>1024</v>
      </c>
      <c r="C313" s="5" t="s">
        <v>297</v>
      </c>
      <c r="D313" s="5" t="s">
        <v>1025</v>
      </c>
      <c r="E313" s="5" t="s">
        <v>1026</v>
      </c>
      <c r="F313" s="5" t="s">
        <v>242</v>
      </c>
      <c r="G313" s="5" t="s">
        <v>243</v>
      </c>
      <c r="H313" s="5" t="s">
        <v>22</v>
      </c>
      <c r="I313" s="5" t="s">
        <v>23</v>
      </c>
      <c r="J313" s="6" t="str">
        <f aca="false">HYPERLINK("https://geospatial.trimble.com/en/products/software/trimble-connect","Official site")</f>
        <v>Official site</v>
      </c>
      <c r="K313" s="6" t="str">
        <f aca="false">HYPERLINK("https://geospatial.trimble.com/en/products/software/trimble-connect","Evidence / lead")</f>
        <v>Evidence / lead</v>
      </c>
      <c r="L313" s="6" t="str">
        <f aca="false">HYPERLINK("https://www.ptc.com/en/products/creo","Language source")</f>
        <v>Language source</v>
      </c>
    </row>
    <row r="314" customFormat="false" ht="23.85" hidden="false" customHeight="false" outlineLevel="0" collapsed="false">
      <c r="A314" s="5" t="s">
        <v>1002</v>
      </c>
      <c r="B314" s="5" t="s">
        <v>1027</v>
      </c>
      <c r="C314" s="5" t="s">
        <v>48</v>
      </c>
      <c r="D314" s="5" t="s">
        <v>1028</v>
      </c>
      <c r="E314" s="5" t="s">
        <v>1029</v>
      </c>
      <c r="F314" s="5" t="s">
        <v>151</v>
      </c>
      <c r="G314" s="5" t="s">
        <v>152</v>
      </c>
      <c r="H314" s="5" t="s">
        <v>153</v>
      </c>
      <c r="I314" s="5" t="s">
        <v>23</v>
      </c>
      <c r="J314" s="6" t="str">
        <f aca="false">HYPERLINK("https://bonsaibim.org/","Official site")</f>
        <v>Official site</v>
      </c>
      <c r="K314" s="6" t="str">
        <f aca="false">HYPERLINK("https://bonsaibim.org/","Evidence / lead")</f>
        <v>Evidence / lead</v>
      </c>
      <c r="L314" s="6" t="str">
        <f aca="false">HYPERLINK("https://bonsaibim.org/","Language source")</f>
        <v>Language source</v>
      </c>
    </row>
    <row r="315" customFormat="false" ht="23.85" hidden="false" customHeight="false" outlineLevel="0" collapsed="false">
      <c r="A315" s="5" t="s">
        <v>1002</v>
      </c>
      <c r="B315" s="5" t="s">
        <v>1030</v>
      </c>
      <c r="C315" s="5" t="s">
        <v>48</v>
      </c>
      <c r="D315" s="5" t="s">
        <v>1031</v>
      </c>
      <c r="E315" s="5" t="s">
        <v>1032</v>
      </c>
      <c r="F315" s="5" t="s">
        <v>587</v>
      </c>
      <c r="G315" s="5" t="s">
        <v>58</v>
      </c>
      <c r="H315" s="5" t="s">
        <v>367</v>
      </c>
      <c r="I315" s="5" t="s">
        <v>23</v>
      </c>
      <c r="J315" s="6" t="str">
        <f aca="false">HYPERLINK("https://www.freecad.org/","Official site")</f>
        <v>Official site</v>
      </c>
      <c r="K315" s="6" t="str">
        <f aca="false">HYPERLINK("https://www.freecad.org/api/","Evidence / lead")</f>
        <v>Evidence / lead</v>
      </c>
      <c r="L315" s="6" t="str">
        <f aca="false">HYPERLINK("https://www.freecad.org/api/","Language source")</f>
        <v>Language source</v>
      </c>
    </row>
    <row r="316" customFormat="false" ht="23.85" hidden="false" customHeight="false" outlineLevel="0" collapsed="false">
      <c r="A316" s="5" t="s">
        <v>1033</v>
      </c>
      <c r="B316" s="5" t="s">
        <v>1034</v>
      </c>
      <c r="C316" s="5" t="s">
        <v>17</v>
      </c>
      <c r="D316" s="5" t="s">
        <v>1035</v>
      </c>
      <c r="E316" s="5" t="s">
        <v>1036</v>
      </c>
      <c r="F316" s="5" t="s">
        <v>242</v>
      </c>
      <c r="G316" s="5" t="s">
        <v>243</v>
      </c>
      <c r="H316" s="5" t="s">
        <v>22</v>
      </c>
      <c r="I316" s="5" t="s">
        <v>23</v>
      </c>
      <c r="J316" s="6" t="str">
        <f aca="false">HYPERLINK("https://help.fieldsystems.trimble.com/tbc/home.htm","Official site")</f>
        <v>Official site</v>
      </c>
      <c r="K316" s="6" t="str">
        <f aca="false">HYPERLINK("https://help.fieldsystems.trimble.com/tbc/home.htm","Evidence / lead")</f>
        <v>Evidence / lead</v>
      </c>
      <c r="L316" s="6" t="str">
        <f aca="false">HYPERLINK("https://www.ptc.com/en/products/creo","Language source")</f>
        <v>Language source</v>
      </c>
    </row>
    <row r="317" customFormat="false" ht="23.85" hidden="false" customHeight="false" outlineLevel="0" collapsed="false">
      <c r="A317" s="5" t="s">
        <v>1033</v>
      </c>
      <c r="B317" s="5" t="s">
        <v>1037</v>
      </c>
      <c r="C317" s="5" t="s">
        <v>17</v>
      </c>
      <c r="D317" s="5" t="s">
        <v>1038</v>
      </c>
      <c r="E317" s="5" t="s">
        <v>1039</v>
      </c>
      <c r="F317" s="5" t="s">
        <v>242</v>
      </c>
      <c r="G317" s="5" t="s">
        <v>243</v>
      </c>
      <c r="H317" s="5" t="s">
        <v>22</v>
      </c>
      <c r="I317" s="5" t="s">
        <v>23</v>
      </c>
      <c r="J317" s="6" t="str">
        <f aca="false">HYPERLINK("https://leica-geosystems.com/","Official site")</f>
        <v>Official site</v>
      </c>
      <c r="K317" s="6" t="str">
        <f aca="false">HYPERLINK("https://leica-geosystems.com/","Evidence / lead")</f>
        <v>Evidence / lead</v>
      </c>
      <c r="L317" s="6" t="str">
        <f aca="false">HYPERLINK("https://www.ptc.com/en/products/creo","Language source")</f>
        <v>Language source</v>
      </c>
    </row>
    <row r="318" customFormat="false" ht="23.85" hidden="false" customHeight="false" outlineLevel="0" collapsed="false">
      <c r="A318" s="5" t="s">
        <v>1033</v>
      </c>
      <c r="B318" s="5" t="s">
        <v>941</v>
      </c>
      <c r="C318" s="5" t="s">
        <v>17</v>
      </c>
      <c r="D318" s="5" t="s">
        <v>1040</v>
      </c>
      <c r="E318" s="5" t="s">
        <v>1041</v>
      </c>
      <c r="F318" s="5" t="s">
        <v>242</v>
      </c>
      <c r="G318" s="5" t="s">
        <v>243</v>
      </c>
      <c r="H318" s="5" t="s">
        <v>22</v>
      </c>
      <c r="I318" s="5" t="s">
        <v>23</v>
      </c>
      <c r="J318" s="6" t="str">
        <f aca="false">HYPERLINK("https://www.autodesk.com/collections","Official site")</f>
        <v>Official site</v>
      </c>
      <c r="K318" s="6" t="str">
        <f aca="false">HYPERLINK("https://www.autodesk.com/products/civil-3d/overview","Evidence / lead")</f>
        <v>Evidence / lead</v>
      </c>
      <c r="L318" s="6" t="str">
        <f aca="false">HYPERLINK("https://www.ptc.com/en/products/creo","Language source")</f>
        <v>Language source</v>
      </c>
    </row>
    <row r="319" customFormat="false" ht="23.85" hidden="false" customHeight="false" outlineLevel="0" collapsed="false">
      <c r="A319" s="5" t="s">
        <v>1033</v>
      </c>
      <c r="B319" s="5" t="s">
        <v>1042</v>
      </c>
      <c r="C319" s="5" t="s">
        <v>17</v>
      </c>
      <c r="D319" s="5" t="s">
        <v>1043</v>
      </c>
      <c r="E319" s="5" t="s">
        <v>1044</v>
      </c>
      <c r="F319" s="5" t="s">
        <v>242</v>
      </c>
      <c r="G319" s="5" t="s">
        <v>243</v>
      </c>
      <c r="H319" s="5" t="s">
        <v>22</v>
      </c>
      <c r="I319" s="5" t="s">
        <v>30</v>
      </c>
      <c r="J319" s="6" t="str">
        <f aca="false">HYPERLINK("https://www.esri.com/","Official site")</f>
        <v>Official site</v>
      </c>
      <c r="K319" s="6" t="str">
        <f aca="false">HYPERLINK("https://www.esri.com/","Evidence / lead")</f>
        <v>Evidence / lead</v>
      </c>
      <c r="L319" s="6" t="str">
        <f aca="false">HYPERLINK("https://www.ptc.com/en/products/creo","Language source")</f>
        <v>Language source</v>
      </c>
    </row>
    <row r="320" customFormat="false" ht="23.85" hidden="false" customHeight="false" outlineLevel="0" collapsed="false">
      <c r="A320" s="5" t="s">
        <v>1033</v>
      </c>
      <c r="B320" s="5" t="s">
        <v>1045</v>
      </c>
      <c r="C320" s="5" t="s">
        <v>17</v>
      </c>
      <c r="D320" s="5" t="s">
        <v>1046</v>
      </c>
      <c r="E320" s="5" t="s">
        <v>1047</v>
      </c>
      <c r="F320" s="5" t="s">
        <v>242</v>
      </c>
      <c r="G320" s="5" t="s">
        <v>243</v>
      </c>
      <c r="H320" s="5" t="s">
        <v>22</v>
      </c>
      <c r="I320" s="5" t="s">
        <v>30</v>
      </c>
      <c r="J320" s="6" t="str">
        <f aca="false">HYPERLINK("https://www.bluemarblegeo.com/","Official site")</f>
        <v>Official site</v>
      </c>
      <c r="K320" s="6" t="str">
        <f aca="false">HYPERLINK("https://www.bluemarblegeo.com/","Evidence / lead")</f>
        <v>Evidence / lead</v>
      </c>
      <c r="L320" s="6" t="str">
        <f aca="false">HYPERLINK("https://www.ptc.com/en/products/creo","Language source")</f>
        <v>Language source</v>
      </c>
    </row>
    <row r="321" customFormat="false" ht="23.85" hidden="false" customHeight="false" outlineLevel="0" collapsed="false">
      <c r="A321" s="5" t="s">
        <v>1033</v>
      </c>
      <c r="B321" s="5" t="s">
        <v>1048</v>
      </c>
      <c r="C321" s="5" t="s">
        <v>17</v>
      </c>
      <c r="D321" s="5" t="s">
        <v>1049</v>
      </c>
      <c r="E321" s="5" t="s">
        <v>1050</v>
      </c>
      <c r="F321" s="5" t="s">
        <v>242</v>
      </c>
      <c r="G321" s="5" t="s">
        <v>243</v>
      </c>
      <c r="H321" s="5" t="s">
        <v>22</v>
      </c>
      <c r="I321" s="5" t="s">
        <v>30</v>
      </c>
      <c r="J321" s="6" t="str">
        <f aca="false">HYPERLINK("https://www.pix4d.com/","Official site")</f>
        <v>Official site</v>
      </c>
      <c r="K321" s="6" t="str">
        <f aca="false">HYPERLINK("https://www.pix4d.com/","Evidence / lead")</f>
        <v>Evidence / lead</v>
      </c>
      <c r="L321" s="6" t="str">
        <f aca="false">HYPERLINK("https://www.ptc.com/en/products/creo","Language source")</f>
        <v>Language source</v>
      </c>
    </row>
    <row r="322" customFormat="false" ht="23.85" hidden="false" customHeight="false" outlineLevel="0" collapsed="false">
      <c r="A322" s="5" t="s">
        <v>1033</v>
      </c>
      <c r="B322" s="5" t="s">
        <v>1051</v>
      </c>
      <c r="C322" s="5" t="s">
        <v>17</v>
      </c>
      <c r="D322" s="5" t="s">
        <v>1052</v>
      </c>
      <c r="E322" s="5" t="s">
        <v>1053</v>
      </c>
      <c r="F322" s="5" t="s">
        <v>242</v>
      </c>
      <c r="G322" s="5" t="s">
        <v>243</v>
      </c>
      <c r="H322" s="5" t="s">
        <v>22</v>
      </c>
      <c r="I322" s="5" t="s">
        <v>23</v>
      </c>
      <c r="J322" s="6" t="str">
        <f aca="false">HYPERLINK("https://www.agisoft.com/","Official site")</f>
        <v>Official site</v>
      </c>
      <c r="K322" s="6" t="str">
        <f aca="false">HYPERLINK("https://www.agisoft.com/","Evidence / lead")</f>
        <v>Evidence / lead</v>
      </c>
      <c r="L322" s="6" t="str">
        <f aca="false">HYPERLINK("https://www.ptc.com/en/products/creo","Language source")</f>
        <v>Language source</v>
      </c>
    </row>
    <row r="323" customFormat="false" ht="23.85" hidden="false" customHeight="false" outlineLevel="0" collapsed="false">
      <c r="A323" s="5" t="s">
        <v>1033</v>
      </c>
      <c r="B323" s="5" t="s">
        <v>1054</v>
      </c>
      <c r="C323" s="5" t="s">
        <v>48</v>
      </c>
      <c r="D323" s="5" t="s">
        <v>1055</v>
      </c>
      <c r="E323" s="5" t="s">
        <v>1056</v>
      </c>
      <c r="F323" s="5" t="s">
        <v>151</v>
      </c>
      <c r="G323" s="5" t="s">
        <v>152</v>
      </c>
      <c r="H323" s="5" t="s">
        <v>153</v>
      </c>
      <c r="I323" s="5" t="s">
        <v>23</v>
      </c>
      <c r="J323" s="6" t="str">
        <f aca="false">HYPERLINK("https://qgis.org/","Official site")</f>
        <v>Official site</v>
      </c>
      <c r="K323" s="6" t="str">
        <f aca="false">HYPERLINK("https://qgis.org/","Evidence / lead")</f>
        <v>Evidence / lead</v>
      </c>
      <c r="L323" s="6" t="str">
        <f aca="false">HYPERLINK("https://qgis.org/","Language source")</f>
        <v>Language source</v>
      </c>
    </row>
    <row r="324" customFormat="false" ht="23.85" hidden="false" customHeight="false" outlineLevel="0" collapsed="false">
      <c r="A324" s="5" t="s">
        <v>1033</v>
      </c>
      <c r="B324" s="5" t="s">
        <v>1057</v>
      </c>
      <c r="C324" s="5" t="s">
        <v>48</v>
      </c>
      <c r="D324" s="5" t="s">
        <v>1058</v>
      </c>
      <c r="E324" s="5" t="s">
        <v>1059</v>
      </c>
      <c r="F324" s="5" t="s">
        <v>151</v>
      </c>
      <c r="G324" s="5" t="s">
        <v>152</v>
      </c>
      <c r="H324" s="5" t="s">
        <v>153</v>
      </c>
      <c r="I324" s="5" t="s">
        <v>37</v>
      </c>
      <c r="J324" s="6" t="str">
        <f aca="false">HYPERLINK("https://www.cloudcompare.org/","Official site")</f>
        <v>Official site</v>
      </c>
      <c r="K324" s="6" t="str">
        <f aca="false">HYPERLINK("https://www.cloudcompare.org/","Evidence / lead")</f>
        <v>Evidence / lead</v>
      </c>
      <c r="L324" s="6" t="str">
        <f aca="false">HYPERLINK("https://www.cloudcompare.org/","Language source")</f>
        <v>Language source</v>
      </c>
    </row>
    <row r="325" customFormat="false" ht="23.85" hidden="false" customHeight="false" outlineLevel="0" collapsed="false">
      <c r="A325" s="5" t="s">
        <v>1033</v>
      </c>
      <c r="B325" s="5" t="s">
        <v>1060</v>
      </c>
      <c r="C325" s="5" t="s">
        <v>48</v>
      </c>
      <c r="D325" s="5" t="s">
        <v>1061</v>
      </c>
      <c r="E325" s="5" t="s">
        <v>1062</v>
      </c>
      <c r="F325" s="5" t="s">
        <v>151</v>
      </c>
      <c r="G325" s="5" t="s">
        <v>152</v>
      </c>
      <c r="H325" s="5" t="s">
        <v>153</v>
      </c>
      <c r="I325" s="5" t="s">
        <v>23</v>
      </c>
      <c r="J325" s="6" t="str">
        <f aca="false">HYPERLINK("https://www.opendronemap.org/","Official site")</f>
        <v>Official site</v>
      </c>
      <c r="K325" s="6" t="str">
        <f aca="false">HYPERLINK("https://www.opendronemap.org/","Evidence / lead")</f>
        <v>Evidence / lead</v>
      </c>
      <c r="L325" s="6" t="str">
        <f aca="false">HYPERLINK("https://www.opendronemap.org/","Language source")</f>
        <v>Language source</v>
      </c>
    </row>
    <row r="326" customFormat="false" ht="23.85" hidden="false" customHeight="false" outlineLevel="0" collapsed="false">
      <c r="A326" s="5" t="s">
        <v>1063</v>
      </c>
      <c r="B326" s="5" t="s">
        <v>1064</v>
      </c>
      <c r="C326" s="5" t="s">
        <v>17</v>
      </c>
      <c r="D326" s="5" t="s">
        <v>1065</v>
      </c>
      <c r="E326" s="5" t="s">
        <v>1066</v>
      </c>
      <c r="F326" s="5" t="s">
        <v>20</v>
      </c>
      <c r="G326" s="5" t="s">
        <v>21</v>
      </c>
      <c r="H326" s="5" t="s">
        <v>22</v>
      </c>
      <c r="I326" s="5" t="s">
        <v>23</v>
      </c>
      <c r="J326" s="6" t="str">
        <f aca="false">HYPERLINK("https://new.abb.com/products/robotics/robotstudio","Official site")</f>
        <v>Official site</v>
      </c>
      <c r="K326" s="6" t="str">
        <f aca="false">HYPERLINK("https://new.abb.com/products/robotics/robotstudio","Evidence / lead")</f>
        <v>Evidence / lead</v>
      </c>
      <c r="L326" s="6" t="str">
        <f aca="false">HYPERLINK("https://www.ansys.com/products","Language source")</f>
        <v>Language source</v>
      </c>
    </row>
    <row r="327" customFormat="false" ht="23.85" hidden="false" customHeight="false" outlineLevel="0" collapsed="false">
      <c r="A327" s="5" t="s">
        <v>1063</v>
      </c>
      <c r="B327" s="5" t="s">
        <v>1067</v>
      </c>
      <c r="C327" s="5" t="s">
        <v>17</v>
      </c>
      <c r="D327" s="5" t="s">
        <v>1068</v>
      </c>
      <c r="E327" s="5" t="s">
        <v>1069</v>
      </c>
      <c r="F327" s="5" t="s">
        <v>1070</v>
      </c>
      <c r="G327" s="5" t="s">
        <v>1071</v>
      </c>
      <c r="H327" s="5" t="s">
        <v>1072</v>
      </c>
      <c r="I327" s="5" t="s">
        <v>23</v>
      </c>
      <c r="J327" s="6" t="str">
        <f aca="false">HYPERLINK("https://robodk.com/","Official site")</f>
        <v>Official site</v>
      </c>
      <c r="K327" s="6" t="str">
        <f aca="false">HYPERLINK("https://robodk.com/doc/en/Robot-Programs.html","Evidence / lead")</f>
        <v>Evidence / lead</v>
      </c>
      <c r="L327" s="6" t="str">
        <f aca="false">HYPERLINK("https://robodk.com/doc/en/RoboDK-API.html","Language source")</f>
        <v>Language source</v>
      </c>
    </row>
    <row r="328" customFormat="false" ht="23.85" hidden="false" customHeight="false" outlineLevel="0" collapsed="false">
      <c r="A328" s="5" t="s">
        <v>1063</v>
      </c>
      <c r="B328" s="5" t="s">
        <v>1073</v>
      </c>
      <c r="C328" s="5" t="s">
        <v>17</v>
      </c>
      <c r="D328" s="5" t="s">
        <v>1074</v>
      </c>
      <c r="E328" s="5" t="s">
        <v>1075</v>
      </c>
      <c r="F328" s="5" t="s">
        <v>20</v>
      </c>
      <c r="G328" s="5" t="s">
        <v>21</v>
      </c>
      <c r="H328" s="5" t="s">
        <v>22</v>
      </c>
      <c r="I328" s="5" t="s">
        <v>23</v>
      </c>
      <c r="J328" s="6" t="str">
        <f aca="false">HYPERLINK("https://www.siemens.com/","Official site")</f>
        <v>Official site</v>
      </c>
      <c r="K328" s="6" t="str">
        <f aca="false">HYPERLINK("https://www.siemens.com/en-gb/products/pcb/xpedition/","Evidence / lead")</f>
        <v>Evidence / lead</v>
      </c>
      <c r="L328" s="6" t="str">
        <f aca="false">HYPERLINK("https://www.ansys.com/products","Language source")</f>
        <v>Language source</v>
      </c>
    </row>
    <row r="329" customFormat="false" ht="23.85" hidden="false" customHeight="false" outlineLevel="0" collapsed="false">
      <c r="A329" s="5" t="s">
        <v>1063</v>
      </c>
      <c r="B329" s="5" t="s">
        <v>1076</v>
      </c>
      <c r="C329" s="5" t="s">
        <v>17</v>
      </c>
      <c r="D329" s="5" t="s">
        <v>1077</v>
      </c>
      <c r="E329" s="5" t="s">
        <v>1078</v>
      </c>
      <c r="F329" s="5" t="s">
        <v>20</v>
      </c>
      <c r="G329" s="5" t="s">
        <v>21</v>
      </c>
      <c r="H329" s="5" t="s">
        <v>22</v>
      </c>
      <c r="I329" s="5" t="s">
        <v>23</v>
      </c>
      <c r="J329" s="6" t="str">
        <f aca="false">HYPERLINK("https://www.3ds.com/","Official site")</f>
        <v>Official site</v>
      </c>
      <c r="K329" s="6" t="str">
        <f aca="false">HYPERLINK("https://www.3ds.com/products/delmia/resource-center?wocset=11","Evidence / lead")</f>
        <v>Evidence / lead</v>
      </c>
      <c r="L329" s="6" t="str">
        <f aca="false">HYPERLINK("https://www.ansys.com/products","Language source")</f>
        <v>Language source</v>
      </c>
    </row>
    <row r="330" customFormat="false" ht="23.85" hidden="false" customHeight="false" outlineLevel="0" collapsed="false">
      <c r="A330" s="5" t="s">
        <v>1063</v>
      </c>
      <c r="B330" s="5" t="s">
        <v>1079</v>
      </c>
      <c r="C330" s="5" t="s">
        <v>17</v>
      </c>
      <c r="D330" s="5" t="s">
        <v>1080</v>
      </c>
      <c r="E330" s="5" t="s">
        <v>1081</v>
      </c>
      <c r="F330" s="5" t="s">
        <v>20</v>
      </c>
      <c r="G330" s="5" t="s">
        <v>21</v>
      </c>
      <c r="H330" s="5" t="s">
        <v>22</v>
      </c>
      <c r="I330" s="5" t="s">
        <v>23</v>
      </c>
      <c r="J330" s="6" t="str">
        <f aca="false">HYPERLINK("https://www.visualcomponents.com/","Official site")</f>
        <v>Official site</v>
      </c>
      <c r="K330" s="6" t="str">
        <f aca="false">HYPERLINK("https://www.visualcomponents.com/","Evidence / lead")</f>
        <v>Evidence / lead</v>
      </c>
      <c r="L330" s="6" t="str">
        <f aca="false">HYPERLINK("https://www.ansys.com/products","Language source")</f>
        <v>Language source</v>
      </c>
    </row>
    <row r="331" customFormat="false" ht="23.85" hidden="false" customHeight="false" outlineLevel="0" collapsed="false">
      <c r="A331" s="5" t="s">
        <v>1063</v>
      </c>
      <c r="B331" s="5" t="s">
        <v>1082</v>
      </c>
      <c r="C331" s="5" t="s">
        <v>48</v>
      </c>
      <c r="D331" s="5" t="s">
        <v>1083</v>
      </c>
      <c r="E331" s="5" t="s">
        <v>1084</v>
      </c>
      <c r="F331" s="5" t="s">
        <v>151</v>
      </c>
      <c r="G331" s="5" t="s">
        <v>152</v>
      </c>
      <c r="H331" s="5" t="s">
        <v>153</v>
      </c>
      <c r="I331" s="5" t="s">
        <v>23</v>
      </c>
      <c r="J331" s="6" t="str">
        <f aca="false">HYPERLINK("https://gazebosim.org/","Official site")</f>
        <v>Official site</v>
      </c>
      <c r="K331" s="6" t="str">
        <f aca="false">HYPERLINK("https://gazebosim.org/","Evidence / lead")</f>
        <v>Evidence / lead</v>
      </c>
      <c r="L331" s="6" t="str">
        <f aca="false">HYPERLINK("https://gazebosim.org/","Language source")</f>
        <v>Language source</v>
      </c>
    </row>
    <row r="332" customFormat="false" ht="23.85" hidden="false" customHeight="false" outlineLevel="0" collapsed="false">
      <c r="A332" s="5" t="s">
        <v>1063</v>
      </c>
      <c r="B332" s="5" t="s">
        <v>1085</v>
      </c>
      <c r="C332" s="5" t="s">
        <v>48</v>
      </c>
      <c r="D332" s="5" t="s">
        <v>1086</v>
      </c>
      <c r="E332" s="5" t="s">
        <v>1087</v>
      </c>
      <c r="F332" s="5" t="s">
        <v>151</v>
      </c>
      <c r="G332" s="5" t="s">
        <v>152</v>
      </c>
      <c r="H332" s="5" t="s">
        <v>153</v>
      </c>
      <c r="I332" s="5" t="s">
        <v>23</v>
      </c>
      <c r="J332" s="6" t="str">
        <f aca="false">HYPERLINK("https://cyberbotics.com/","Official site")</f>
        <v>Official site</v>
      </c>
      <c r="K332" s="6" t="str">
        <f aca="false">HYPERLINK("https://cyberbotics.com/","Evidence / lead")</f>
        <v>Evidence / lead</v>
      </c>
      <c r="L332" s="6" t="str">
        <f aca="false">HYPERLINK("https://cyberbotics.com/","Language source")</f>
        <v>Language source</v>
      </c>
    </row>
    <row r="333" customFormat="false" ht="23.85" hidden="false" customHeight="false" outlineLevel="0" collapsed="false">
      <c r="A333" s="5" t="s">
        <v>1063</v>
      </c>
      <c r="B333" s="5" t="s">
        <v>1088</v>
      </c>
      <c r="C333" s="5" t="s">
        <v>297</v>
      </c>
      <c r="D333" s="5" t="s">
        <v>1089</v>
      </c>
      <c r="E333" s="5" t="s">
        <v>1090</v>
      </c>
      <c r="F333" s="5" t="s">
        <v>20</v>
      </c>
      <c r="G333" s="5" t="s">
        <v>21</v>
      </c>
      <c r="H333" s="5" t="s">
        <v>22</v>
      </c>
      <c r="I333" s="5" t="s">
        <v>23</v>
      </c>
      <c r="J333" s="6" t="str">
        <f aca="false">HYPERLINK("https://www.coppeliarobotics.com/","Official site")</f>
        <v>Official site</v>
      </c>
      <c r="K333" s="6" t="str">
        <f aca="false">HYPERLINK("https://www.coppeliarobotics.com/","Evidence / lead")</f>
        <v>Evidence / lead</v>
      </c>
      <c r="L333" s="6" t="str">
        <f aca="false">HYPERLINK("https://www.ansys.com/products","Language source")</f>
        <v>Language source</v>
      </c>
    </row>
    <row r="334" customFormat="false" ht="23.85" hidden="false" customHeight="false" outlineLevel="0" collapsed="false">
      <c r="A334" s="5" t="s">
        <v>1063</v>
      </c>
      <c r="B334" s="5" t="s">
        <v>1091</v>
      </c>
      <c r="C334" s="5" t="s">
        <v>48</v>
      </c>
      <c r="D334" s="5" t="s">
        <v>1092</v>
      </c>
      <c r="E334" s="5" t="s">
        <v>1093</v>
      </c>
      <c r="F334" s="5" t="s">
        <v>151</v>
      </c>
      <c r="G334" s="5" t="s">
        <v>152</v>
      </c>
      <c r="H334" s="5" t="s">
        <v>153</v>
      </c>
      <c r="I334" s="5" t="s">
        <v>23</v>
      </c>
      <c r="J334" s="6" t="str">
        <f aca="false">HYPERLINK("https://mujoco.org/","Official site")</f>
        <v>Official site</v>
      </c>
      <c r="K334" s="6" t="str">
        <f aca="false">HYPERLINK("https://mujoco.org/","Evidence / lead")</f>
        <v>Evidence / lead</v>
      </c>
      <c r="L334" s="6" t="str">
        <f aca="false">HYPERLINK("https://mujoco.org/","Language source")</f>
        <v>Language source</v>
      </c>
    </row>
    <row r="335" customFormat="false" ht="23.85" hidden="false" customHeight="false" outlineLevel="0" collapsed="false">
      <c r="A335" s="5" t="s">
        <v>1063</v>
      </c>
      <c r="B335" s="5" t="s">
        <v>1094</v>
      </c>
      <c r="C335" s="5" t="s">
        <v>48</v>
      </c>
      <c r="D335" s="5" t="s">
        <v>1095</v>
      </c>
      <c r="E335" s="5" t="s">
        <v>1096</v>
      </c>
      <c r="F335" s="5" t="s">
        <v>151</v>
      </c>
      <c r="G335" s="5" t="s">
        <v>152</v>
      </c>
      <c r="H335" s="5" t="s">
        <v>153</v>
      </c>
      <c r="I335" s="5" t="s">
        <v>23</v>
      </c>
      <c r="J335" s="6" t="str">
        <f aca="false">HYPERLINK("https://drake.mit.edu/","Official site")</f>
        <v>Official site</v>
      </c>
      <c r="K335" s="6" t="str">
        <f aca="false">HYPERLINK("https://drake.mit.edu/","Evidence / lead")</f>
        <v>Evidence / lead</v>
      </c>
      <c r="L335" s="6" t="str">
        <f aca="false">HYPERLINK("https://drake.mit.edu/","Language source")</f>
        <v>Language source</v>
      </c>
    </row>
    <row r="336" customFormat="false" ht="23.85" hidden="false" customHeight="false" outlineLevel="0" collapsed="false">
      <c r="A336" s="5" t="s">
        <v>1097</v>
      </c>
      <c r="B336" s="5" t="s">
        <v>1098</v>
      </c>
      <c r="C336" s="5" t="s">
        <v>17</v>
      </c>
      <c r="D336" s="5" t="s">
        <v>1099</v>
      </c>
      <c r="E336" s="5" t="s">
        <v>1100</v>
      </c>
      <c r="F336" s="5" t="s">
        <v>20</v>
      </c>
      <c r="G336" s="5" t="s">
        <v>21</v>
      </c>
      <c r="H336" s="5" t="s">
        <v>22</v>
      </c>
      <c r="I336" s="5" t="s">
        <v>23</v>
      </c>
      <c r="J336" s="6" t="str">
        <f aca="false">HYPERLINK("https://www.comsol.com/products","Official site")</f>
        <v>Official site</v>
      </c>
      <c r="K336" s="6" t="str">
        <f aca="false">HYPERLINK("https://www.comsol.com/product-download","Evidence / lead")</f>
        <v>Evidence / lead</v>
      </c>
      <c r="L336" s="6" t="str">
        <f aca="false">HYPERLINK("https://www.ansys.com/products","Language source")</f>
        <v>Language source</v>
      </c>
    </row>
    <row r="337" customFormat="false" ht="23.85" hidden="false" customHeight="false" outlineLevel="0" collapsed="false">
      <c r="A337" s="5" t="s">
        <v>1097</v>
      </c>
      <c r="B337" s="5" t="s">
        <v>1101</v>
      </c>
      <c r="C337" s="5" t="s">
        <v>17</v>
      </c>
      <c r="D337" s="5" t="s">
        <v>1102</v>
      </c>
      <c r="E337" s="5" t="s">
        <v>1103</v>
      </c>
      <c r="F337" s="5" t="s">
        <v>20</v>
      </c>
      <c r="G337" s="5" t="s">
        <v>21</v>
      </c>
      <c r="H337" s="5" t="s">
        <v>22</v>
      </c>
      <c r="I337" s="5" t="s">
        <v>23</v>
      </c>
      <c r="J337" s="6" t="str">
        <f aca="false">HYPERLINK("https://www.ansys.com/","Official site")</f>
        <v>Official site</v>
      </c>
      <c r="K337" s="6" t="str">
        <f aca="false">HYPERLINK("https://www.ansys.com/products/ansys-workbench","Evidence / lead")</f>
        <v>Evidence / lead</v>
      </c>
      <c r="L337" s="6" t="str">
        <f aca="false">HYPERLINK("https://www.ansys.com/products","Language source")</f>
        <v>Language source</v>
      </c>
    </row>
    <row r="338" customFormat="false" ht="23.85" hidden="false" customHeight="false" outlineLevel="0" collapsed="false">
      <c r="A338" s="5" t="s">
        <v>1097</v>
      </c>
      <c r="B338" s="5" t="s">
        <v>139</v>
      </c>
      <c r="C338" s="5" t="s">
        <v>17</v>
      </c>
      <c r="D338" s="5" t="s">
        <v>1104</v>
      </c>
      <c r="E338" s="5" t="s">
        <v>1105</v>
      </c>
      <c r="F338" s="5" t="s">
        <v>20</v>
      </c>
      <c r="G338" s="5" t="s">
        <v>21</v>
      </c>
      <c r="H338" s="5" t="s">
        <v>22</v>
      </c>
      <c r="I338" s="5" t="s">
        <v>23</v>
      </c>
      <c r="J338" s="6" t="str">
        <f aca="false">HYPERLINK("https://www.siemens.com/en-us/products/simcenter/","Official site")</f>
        <v>Official site</v>
      </c>
      <c r="K338" s="6" t="str">
        <f aca="false">HYPERLINK("https://www.siemens.com/en-us/products/simcenter/simcenter-x/advanced/","Evidence / lead")</f>
        <v>Evidence / lead</v>
      </c>
      <c r="L338" s="6" t="str">
        <f aca="false">HYPERLINK("https://www.ansys.com/products","Language source")</f>
        <v>Language source</v>
      </c>
    </row>
    <row r="339" customFormat="false" ht="23.85" hidden="false" customHeight="false" outlineLevel="0" collapsed="false">
      <c r="A339" s="5" t="s">
        <v>1097</v>
      </c>
      <c r="B339" s="5" t="s">
        <v>1106</v>
      </c>
      <c r="C339" s="5" t="s">
        <v>17</v>
      </c>
      <c r="D339" s="5" t="s">
        <v>1107</v>
      </c>
      <c r="E339" s="5" t="s">
        <v>1108</v>
      </c>
      <c r="F339" s="5" t="s">
        <v>20</v>
      </c>
      <c r="G339" s="5" t="s">
        <v>21</v>
      </c>
      <c r="H339" s="5" t="s">
        <v>22</v>
      </c>
      <c r="I339" s="5" t="s">
        <v>30</v>
      </c>
      <c r="J339" s="6" t="str">
        <f aca="false">HYPERLINK("https://www.3ds.com/","Official site")</f>
        <v>Official site</v>
      </c>
      <c r="K339" s="6" t="str">
        <f aca="false">HYPERLINK("https://www.3ds.com/support/hardware-and-software/simulia-systems-information","Evidence / lead")</f>
        <v>Evidence / lead</v>
      </c>
      <c r="L339" s="6" t="str">
        <f aca="false">HYPERLINK("https://www.ansys.com/products","Language source")</f>
        <v>Language source</v>
      </c>
    </row>
    <row r="340" customFormat="false" ht="23.85" hidden="false" customHeight="false" outlineLevel="0" collapsed="false">
      <c r="A340" s="5" t="s">
        <v>1097</v>
      </c>
      <c r="B340" s="5" t="s">
        <v>1109</v>
      </c>
      <c r="C340" s="5" t="s">
        <v>17</v>
      </c>
      <c r="D340" s="5" t="s">
        <v>1110</v>
      </c>
      <c r="E340" s="5" t="s">
        <v>1111</v>
      </c>
      <c r="F340" s="5" t="s">
        <v>110</v>
      </c>
      <c r="G340" s="5" t="s">
        <v>111</v>
      </c>
      <c r="H340" s="5" t="s">
        <v>112</v>
      </c>
      <c r="I340" s="5" t="s">
        <v>23</v>
      </c>
      <c r="J340" s="6" t="str">
        <f aca="false">HYPERLINK("https://www.mathworks.com/products/simscape.html","Official site")</f>
        <v>Official site</v>
      </c>
      <c r="K340" s="6" t="str">
        <f aca="false">HYPERLINK("https://www.mathworks.com/company/technical-articles/a-brief-history-of-matlab.html","Evidence / lead")</f>
        <v>Evidence / lead</v>
      </c>
      <c r="L340" s="6" t="str">
        <f aca="false">HYPERLINK("https://www.mathworks.com/company/technical-articles/a-brief-history-of-matlab.html","Language source")</f>
        <v>Language source</v>
      </c>
    </row>
    <row r="341" customFormat="false" ht="23.85" hidden="false" customHeight="false" outlineLevel="0" collapsed="false">
      <c r="A341" s="5" t="s">
        <v>1097</v>
      </c>
      <c r="B341" s="5" t="s">
        <v>142</v>
      </c>
      <c r="C341" s="5" t="s">
        <v>17</v>
      </c>
      <c r="D341" s="5" t="s">
        <v>1112</v>
      </c>
      <c r="E341" s="5" t="s">
        <v>1113</v>
      </c>
      <c r="F341" s="5" t="s">
        <v>20</v>
      </c>
      <c r="G341" s="5" t="s">
        <v>21</v>
      </c>
      <c r="H341" s="5" t="s">
        <v>22</v>
      </c>
      <c r="I341" s="5" t="s">
        <v>23</v>
      </c>
      <c r="J341" s="6" t="str">
        <f aca="false">HYPERLINK("https://www.maplesoft.com/products/maplesim/","Official site")</f>
        <v>Official site</v>
      </c>
      <c r="K341" s="6" t="str">
        <f aca="false">HYPERLINK("https://www.maplesoft.com/products/maplesim/","Evidence / lead")</f>
        <v>Evidence / lead</v>
      </c>
      <c r="L341" s="6" t="str">
        <f aca="false">HYPERLINK("https://www.ansys.com/products","Language source")</f>
        <v>Language source</v>
      </c>
    </row>
    <row r="342" customFormat="false" ht="23.85" hidden="false" customHeight="false" outlineLevel="0" collapsed="false">
      <c r="A342" s="5" t="s">
        <v>1097</v>
      </c>
      <c r="B342" s="5" t="s">
        <v>145</v>
      </c>
      <c r="C342" s="5" t="s">
        <v>17</v>
      </c>
      <c r="D342" s="5" t="s">
        <v>1114</v>
      </c>
      <c r="E342" s="5" t="s">
        <v>1115</v>
      </c>
      <c r="F342" s="5" t="s">
        <v>20</v>
      </c>
      <c r="G342" s="5" t="s">
        <v>21</v>
      </c>
      <c r="H342" s="5" t="s">
        <v>22</v>
      </c>
      <c r="I342" s="5" t="s">
        <v>23</v>
      </c>
      <c r="J342" s="6" t="str">
        <f aca="false">HYPERLINK("https://www.wolfram.com/system-modeler/","Official site")</f>
        <v>Official site</v>
      </c>
      <c r="K342" s="6" t="str">
        <f aca="false">HYPERLINK("https://www.wolfram.com/system-modeler/","Evidence / lead")</f>
        <v>Evidence / lead</v>
      </c>
      <c r="L342" s="6" t="str">
        <f aca="false">HYPERLINK("https://www.ansys.com/products","Language source")</f>
        <v>Language source</v>
      </c>
    </row>
    <row r="343" customFormat="false" ht="23.85" hidden="false" customHeight="false" outlineLevel="0" collapsed="false">
      <c r="A343" s="5" t="s">
        <v>1097</v>
      </c>
      <c r="B343" s="5" t="s">
        <v>1116</v>
      </c>
      <c r="C343" s="5" t="s">
        <v>17</v>
      </c>
      <c r="D343" s="5" t="s">
        <v>1117</v>
      </c>
      <c r="E343" s="5" t="s">
        <v>1118</v>
      </c>
      <c r="F343" s="5" t="s">
        <v>20</v>
      </c>
      <c r="G343" s="5" t="s">
        <v>21</v>
      </c>
      <c r="H343" s="5" t="s">
        <v>22</v>
      </c>
      <c r="I343" s="5" t="s">
        <v>23</v>
      </c>
      <c r="J343" s="6" t="str">
        <f aca="false">HYPERLINK("https://www.ansys.com/","Official site")</f>
        <v>Official site</v>
      </c>
      <c r="K343" s="6" t="str">
        <f aca="false">HYPERLINK("https://www.ansys.com/content/ansysincprogram/en-us/home/products/electronics/ansys-icepak.html","Evidence / lead")</f>
        <v>Evidence / lead</v>
      </c>
      <c r="L343" s="6" t="str">
        <f aca="false">HYPERLINK("https://www.ansys.com/products","Language source")</f>
        <v>Language source</v>
      </c>
    </row>
    <row r="344" customFormat="false" ht="23.85" hidden="false" customHeight="false" outlineLevel="0" collapsed="false">
      <c r="A344" s="5" t="s">
        <v>1097</v>
      </c>
      <c r="B344" s="5" t="s">
        <v>782</v>
      </c>
      <c r="C344" s="5" t="s">
        <v>17</v>
      </c>
      <c r="D344" s="5" t="s">
        <v>1119</v>
      </c>
      <c r="E344" s="5" t="s">
        <v>1120</v>
      </c>
      <c r="F344" s="5" t="s">
        <v>20</v>
      </c>
      <c r="G344" s="5" t="s">
        <v>21</v>
      </c>
      <c r="H344" s="5" t="s">
        <v>22</v>
      </c>
      <c r="I344" s="5" t="s">
        <v>23</v>
      </c>
      <c r="J344" s="6" t="str">
        <f aca="false">HYPERLINK("https://www.gtisoft.com/gt-suite/","Official site")</f>
        <v>Official site</v>
      </c>
      <c r="K344" s="6" t="str">
        <f aca="false">HYPERLINK("https://www.gtisoft.com/gt-suite/","Evidence / lead")</f>
        <v>Evidence / lead</v>
      </c>
      <c r="L344" s="6" t="str">
        <f aca="false">HYPERLINK("https://www.ansys.com/products","Language source")</f>
        <v>Language source</v>
      </c>
    </row>
    <row r="345" customFormat="false" ht="23.85" hidden="false" customHeight="false" outlineLevel="0" collapsed="false">
      <c r="A345" s="5" t="s">
        <v>1097</v>
      </c>
      <c r="B345" s="5" t="s">
        <v>157</v>
      </c>
      <c r="C345" s="5" t="s">
        <v>48</v>
      </c>
      <c r="D345" s="5" t="s">
        <v>1121</v>
      </c>
      <c r="E345" s="5" t="s">
        <v>1122</v>
      </c>
      <c r="F345" s="5" t="s">
        <v>160</v>
      </c>
      <c r="G345" s="5" t="s">
        <v>161</v>
      </c>
      <c r="H345" s="5" t="s">
        <v>162</v>
      </c>
      <c r="I345" s="5" t="s">
        <v>23</v>
      </c>
      <c r="J345" s="6" t="str">
        <f aca="false">HYPERLINK("https://openmodelica.org/","Official site")</f>
        <v>Official site</v>
      </c>
      <c r="K345" s="6" t="str">
        <f aca="false">HYPERLINK("https://openmodelica.org/doc/OpenModelicaUsersGuide/1.26/compiler.html","Evidence / lead")</f>
        <v>Evidence / lead</v>
      </c>
      <c r="L345" s="6" t="str">
        <f aca="false">HYPERLINK("https://openmodelica.org/doc/OpenModelicaUsersGuide/1.26/compiler.html","Language source")</f>
        <v>Language source</v>
      </c>
    </row>
    <row r="346" customFormat="false" ht="23.85" hidden="false" customHeight="false" outlineLevel="0" collapsed="false">
      <c r="A346" s="5" t="s">
        <v>1123</v>
      </c>
      <c r="B346" s="5" t="s">
        <v>1124</v>
      </c>
      <c r="C346" s="5" t="s">
        <v>17</v>
      </c>
      <c r="D346" s="5" t="s">
        <v>1125</v>
      </c>
      <c r="E346" s="5" t="s">
        <v>1126</v>
      </c>
      <c r="F346" s="5" t="s">
        <v>110</v>
      </c>
      <c r="G346" s="5" t="s">
        <v>111</v>
      </c>
      <c r="H346" s="5" t="s">
        <v>112</v>
      </c>
      <c r="I346" s="5" t="s">
        <v>23</v>
      </c>
      <c r="J346" s="6" t="str">
        <f aca="false">HYPERLINK("https://www.mathworks.com/products/matlab.html","Official site")</f>
        <v>Official site</v>
      </c>
      <c r="K346" s="6" t="str">
        <f aca="false">HYPERLINK("https://www.mathworks.com/company/technical-articles/a-brief-history-of-matlab.html","Evidence / lead")</f>
        <v>Evidence / lead</v>
      </c>
      <c r="L346" s="6" t="str">
        <f aca="false">HYPERLINK("https://www.mathworks.com/company/technical-articles/a-brief-history-of-matlab.html","Language source")</f>
        <v>Language source</v>
      </c>
    </row>
    <row r="347" customFormat="false" ht="23.85" hidden="false" customHeight="false" outlineLevel="0" collapsed="false">
      <c r="A347" s="5" t="s">
        <v>1123</v>
      </c>
      <c r="B347" s="5" t="s">
        <v>1127</v>
      </c>
      <c r="C347" s="5" t="s">
        <v>17</v>
      </c>
      <c r="D347" s="5" t="s">
        <v>1128</v>
      </c>
      <c r="E347" s="5" t="s">
        <v>1129</v>
      </c>
      <c r="F347" s="5" t="s">
        <v>20</v>
      </c>
      <c r="G347" s="5" t="s">
        <v>21</v>
      </c>
      <c r="H347" s="5" t="s">
        <v>22</v>
      </c>
      <c r="I347" s="5" t="s">
        <v>23</v>
      </c>
      <c r="J347" s="6" t="str">
        <f aca="false">HYPERLINK("https://www.wolfram.com/mathematica/","Official site")</f>
        <v>Official site</v>
      </c>
      <c r="K347" s="6" t="str">
        <f aca="false">HYPERLINK("https://www.wolfram.com/system-modeler/","Evidence / lead")</f>
        <v>Evidence / lead</v>
      </c>
      <c r="L347" s="6" t="str">
        <f aca="false">HYPERLINK("https://www.ansys.com/products","Language source")</f>
        <v>Language source</v>
      </c>
    </row>
    <row r="348" customFormat="false" ht="23.85" hidden="false" customHeight="false" outlineLevel="0" collapsed="false">
      <c r="A348" s="5" t="s">
        <v>1123</v>
      </c>
      <c r="B348" s="5" t="s">
        <v>1130</v>
      </c>
      <c r="C348" s="5" t="s">
        <v>17</v>
      </c>
      <c r="D348" s="5" t="s">
        <v>1131</v>
      </c>
      <c r="E348" s="5" t="s">
        <v>1132</v>
      </c>
      <c r="F348" s="5" t="s">
        <v>20</v>
      </c>
      <c r="G348" s="5" t="s">
        <v>21</v>
      </c>
      <c r="H348" s="5" t="s">
        <v>22</v>
      </c>
      <c r="I348" s="5" t="s">
        <v>23</v>
      </c>
      <c r="J348" s="6" t="str">
        <f aca="false">HYPERLINK("https://www.maplesoft.com/","Official site")</f>
        <v>Official site</v>
      </c>
      <c r="K348" s="6" t="str">
        <f aca="false">HYPERLINK("https://www.maplesoft.com/products/maplesim/","Evidence / lead")</f>
        <v>Evidence / lead</v>
      </c>
      <c r="L348" s="6" t="str">
        <f aca="false">HYPERLINK("https://www.ansys.com/products","Language source")</f>
        <v>Language source</v>
      </c>
    </row>
    <row r="349" customFormat="false" ht="23.85" hidden="false" customHeight="false" outlineLevel="0" collapsed="false">
      <c r="A349" s="5" t="s">
        <v>1123</v>
      </c>
      <c r="B349" s="5" t="s">
        <v>1133</v>
      </c>
      <c r="C349" s="5" t="s">
        <v>17</v>
      </c>
      <c r="D349" s="5" t="s">
        <v>1134</v>
      </c>
      <c r="E349" s="5" t="s">
        <v>1135</v>
      </c>
      <c r="F349" s="5" t="s">
        <v>20</v>
      </c>
      <c r="G349" s="5" t="s">
        <v>21</v>
      </c>
      <c r="H349" s="5" t="s">
        <v>22</v>
      </c>
      <c r="I349" s="5" t="s">
        <v>23</v>
      </c>
      <c r="J349" s="6" t="str">
        <f aca="false">HYPERLINK("https://www.ptc.com/en/store","Official site")</f>
        <v>Official site</v>
      </c>
      <c r="K349" s="6" t="str">
        <f aca="false">HYPERLINK("https://www.ptc.com/en/store","Evidence / lead")</f>
        <v>Evidence / lead</v>
      </c>
      <c r="L349" s="6" t="str">
        <f aca="false">HYPERLINK("https://www.ansys.com/products","Language source")</f>
        <v>Language source</v>
      </c>
    </row>
    <row r="350" customFormat="false" ht="23.85" hidden="false" customHeight="false" outlineLevel="0" collapsed="false">
      <c r="A350" s="5" t="s">
        <v>1123</v>
      </c>
      <c r="B350" s="5" t="s">
        <v>1136</v>
      </c>
      <c r="C350" s="5" t="s">
        <v>17</v>
      </c>
      <c r="D350" s="5" t="s">
        <v>1137</v>
      </c>
      <c r="E350" s="5" t="s">
        <v>1138</v>
      </c>
      <c r="F350" s="5" t="s">
        <v>20</v>
      </c>
      <c r="G350" s="5" t="s">
        <v>21</v>
      </c>
      <c r="H350" s="5" t="s">
        <v>22</v>
      </c>
      <c r="I350" s="5" t="s">
        <v>23</v>
      </c>
      <c r="J350" s="6" t="str">
        <f aca="false">HYPERLINK("https://www.gams.com/","Official site")</f>
        <v>Official site</v>
      </c>
      <c r="K350" s="6" t="str">
        <f aca="false">HYPERLINK("https://www.gams.com/","Evidence / lead")</f>
        <v>Evidence / lead</v>
      </c>
      <c r="L350" s="6" t="str">
        <f aca="false">HYPERLINK("https://www.ansys.com/products","Language source")</f>
        <v>Language source</v>
      </c>
    </row>
    <row r="351" customFormat="false" ht="23.85" hidden="false" customHeight="false" outlineLevel="0" collapsed="false">
      <c r="A351" s="5" t="s">
        <v>1123</v>
      </c>
      <c r="B351" s="5" t="s">
        <v>1139</v>
      </c>
      <c r="C351" s="5" t="s">
        <v>17</v>
      </c>
      <c r="D351" s="5" t="s">
        <v>1140</v>
      </c>
      <c r="E351" s="5" t="s">
        <v>1141</v>
      </c>
      <c r="F351" s="5" t="s">
        <v>20</v>
      </c>
      <c r="G351" s="5" t="s">
        <v>21</v>
      </c>
      <c r="H351" s="5" t="s">
        <v>22</v>
      </c>
      <c r="I351" s="5" t="s">
        <v>23</v>
      </c>
      <c r="J351" s="6" t="str">
        <f aca="false">HYPERLINK("https://www.gurobi.com/","Official site")</f>
        <v>Official site</v>
      </c>
      <c r="K351" s="6" t="str">
        <f aca="false">HYPERLINK("https://www.gurobi.com/","Evidence / lead")</f>
        <v>Evidence / lead</v>
      </c>
      <c r="L351" s="6" t="str">
        <f aca="false">HYPERLINK("https://www.ansys.com/products","Language source")</f>
        <v>Language source</v>
      </c>
    </row>
    <row r="352" customFormat="false" ht="23.85" hidden="false" customHeight="false" outlineLevel="0" collapsed="false">
      <c r="A352" s="5" t="s">
        <v>1123</v>
      </c>
      <c r="B352" s="5" t="s">
        <v>1142</v>
      </c>
      <c r="C352" s="5" t="s">
        <v>17</v>
      </c>
      <c r="D352" s="5" t="s">
        <v>1143</v>
      </c>
      <c r="E352" s="5" t="s">
        <v>1144</v>
      </c>
      <c r="F352" s="5" t="s">
        <v>20</v>
      </c>
      <c r="G352" s="5" t="s">
        <v>21</v>
      </c>
      <c r="H352" s="5" t="s">
        <v>22</v>
      </c>
      <c r="I352" s="5" t="s">
        <v>30</v>
      </c>
      <c r="J352" s="6" t="str">
        <f aca="false">HYPERLINK("https://www.ibm.com/","Official site")</f>
        <v>Official site</v>
      </c>
      <c r="K352" s="6" t="str">
        <f aca="false">HYPERLINK("https://www.ibm.com/","Evidence / lead")</f>
        <v>Evidence / lead</v>
      </c>
      <c r="L352" s="6" t="str">
        <f aca="false">HYPERLINK("https://www.ansys.com/products","Language source")</f>
        <v>Language source</v>
      </c>
    </row>
    <row r="353" customFormat="false" ht="23.85" hidden="false" customHeight="false" outlineLevel="0" collapsed="false">
      <c r="A353" s="5" t="s">
        <v>1123</v>
      </c>
      <c r="B353" s="5" t="s">
        <v>1145</v>
      </c>
      <c r="C353" s="5" t="s">
        <v>48</v>
      </c>
      <c r="D353" s="5" t="s">
        <v>1146</v>
      </c>
      <c r="E353" s="5" t="s">
        <v>1147</v>
      </c>
      <c r="F353" s="5" t="s">
        <v>151</v>
      </c>
      <c r="G353" s="5" t="s">
        <v>152</v>
      </c>
      <c r="H353" s="5" t="s">
        <v>153</v>
      </c>
      <c r="I353" s="5" t="s">
        <v>23</v>
      </c>
      <c r="J353" s="6" t="str">
        <f aca="false">HYPERLINK("https://scipy.org/","Official site")</f>
        <v>Official site</v>
      </c>
      <c r="K353" s="6" t="str">
        <f aca="false">HYPERLINK("https://scipy.org/","Evidence / lead")</f>
        <v>Evidence / lead</v>
      </c>
      <c r="L353" s="6" t="str">
        <f aca="false">HYPERLINK("https://scipy.org/","Language source")</f>
        <v>Language source</v>
      </c>
    </row>
    <row r="354" customFormat="false" ht="23.85" hidden="false" customHeight="false" outlineLevel="0" collapsed="false">
      <c r="A354" s="5" t="s">
        <v>1123</v>
      </c>
      <c r="B354" s="5" t="s">
        <v>1148</v>
      </c>
      <c r="C354" s="5" t="s">
        <v>48</v>
      </c>
      <c r="D354" s="5" t="s">
        <v>1149</v>
      </c>
      <c r="E354" s="5" t="s">
        <v>1150</v>
      </c>
      <c r="F354" s="5" t="s">
        <v>151</v>
      </c>
      <c r="G354" s="5" t="s">
        <v>152</v>
      </c>
      <c r="H354" s="5" t="s">
        <v>153</v>
      </c>
      <c r="I354" s="5" t="s">
        <v>23</v>
      </c>
      <c r="J354" s="6" t="str">
        <f aca="false">HYPERLINK("https://julialang.org/","Official site")</f>
        <v>Official site</v>
      </c>
      <c r="K354" s="6" t="str">
        <f aca="false">HYPERLINK("https://julialang.org/","Evidence / lead")</f>
        <v>Evidence / lead</v>
      </c>
      <c r="L354" s="6" t="str">
        <f aca="false">HYPERLINK("https://julialang.org/","Language source")</f>
        <v>Language source</v>
      </c>
    </row>
    <row r="355" customFormat="false" ht="23.85" hidden="false" customHeight="false" outlineLevel="0" collapsed="false">
      <c r="A355" s="5" t="s">
        <v>1123</v>
      </c>
      <c r="B355" s="5" t="s">
        <v>1151</v>
      </c>
      <c r="C355" s="5" t="s">
        <v>48</v>
      </c>
      <c r="D355" s="5" t="s">
        <v>1152</v>
      </c>
      <c r="E355" s="5" t="s">
        <v>1153</v>
      </c>
      <c r="F355" s="5" t="s">
        <v>166</v>
      </c>
      <c r="G355" s="5" t="s">
        <v>167</v>
      </c>
      <c r="H355" s="5" t="s">
        <v>168</v>
      </c>
      <c r="I355" s="5" t="s">
        <v>23</v>
      </c>
      <c r="J355" s="6" t="str">
        <f aca="false">HYPERLINK("https://octave.org/","Official site")</f>
        <v>Official site</v>
      </c>
      <c r="K355" s="6" t="str">
        <f aca="false">HYPERLINK("https://octave.org/","Evidence / lead")</f>
        <v>Evidence / lead</v>
      </c>
      <c r="L355" s="6" t="str">
        <f aca="false">HYPERLINK("https://octave.org/about","Language source")</f>
        <v>Language source</v>
      </c>
    </row>
    <row r="356" customFormat="false" ht="23.85" hidden="false" customHeight="false" outlineLevel="0" collapsed="false">
      <c r="A356" s="5" t="s">
        <v>1154</v>
      </c>
      <c r="B356" s="5" t="s">
        <v>1155</v>
      </c>
      <c r="C356" s="5" t="s">
        <v>17</v>
      </c>
      <c r="D356" s="5" t="s">
        <v>1156</v>
      </c>
      <c r="E356" s="5" t="s">
        <v>1157</v>
      </c>
      <c r="F356" s="5" t="s">
        <v>211</v>
      </c>
      <c r="G356" s="5" t="s">
        <v>212</v>
      </c>
      <c r="H356" s="5" t="s">
        <v>22</v>
      </c>
      <c r="I356" s="5" t="s">
        <v>37</v>
      </c>
      <c r="J356" s="6" t="str">
        <f aca="false">HYPERLINK("https://www.anylogic.com/","Official site")</f>
        <v>Official site</v>
      </c>
      <c r="K356" s="6" t="str">
        <f aca="false">HYPERLINK("https://www.anylogic.com/","Evidence / lead")</f>
        <v>Evidence / lead</v>
      </c>
      <c r="L356" s="6" t="str">
        <f aca="false">HYPERLINK("https://www.anylogic.com/","Language source")</f>
        <v>Language source</v>
      </c>
    </row>
    <row r="357" customFormat="false" ht="23.85" hidden="false" customHeight="false" outlineLevel="0" collapsed="false">
      <c r="A357" s="5" t="s">
        <v>1154</v>
      </c>
      <c r="B357" s="5" t="s">
        <v>1158</v>
      </c>
      <c r="C357" s="5" t="s">
        <v>17</v>
      </c>
      <c r="D357" s="5" t="s">
        <v>1159</v>
      </c>
      <c r="E357" s="5" t="s">
        <v>1160</v>
      </c>
      <c r="F357" s="5" t="s">
        <v>211</v>
      </c>
      <c r="G357" s="5" t="s">
        <v>212</v>
      </c>
      <c r="H357" s="5" t="s">
        <v>22</v>
      </c>
      <c r="I357" s="5" t="s">
        <v>23</v>
      </c>
      <c r="J357" s="6" t="str">
        <f aca="false">HYPERLINK("https://www.simio.com/","Official site")</f>
        <v>Official site</v>
      </c>
      <c r="K357" s="6" t="str">
        <f aca="false">HYPERLINK("https://www.simio.com/","Evidence / lead")</f>
        <v>Evidence / lead</v>
      </c>
      <c r="L357" s="6" t="str">
        <f aca="false">HYPERLINK("https://www.simio.com/","Language source")</f>
        <v>Language source</v>
      </c>
    </row>
    <row r="358" customFormat="false" ht="23.85" hidden="false" customHeight="false" outlineLevel="0" collapsed="false">
      <c r="A358" s="5" t="s">
        <v>1154</v>
      </c>
      <c r="B358" s="5" t="s">
        <v>1161</v>
      </c>
      <c r="C358" s="5" t="s">
        <v>17</v>
      </c>
      <c r="D358" s="5" t="s">
        <v>1162</v>
      </c>
      <c r="E358" s="5" t="s">
        <v>1163</v>
      </c>
      <c r="F358" s="5" t="s">
        <v>211</v>
      </c>
      <c r="G358" s="5" t="s">
        <v>212</v>
      </c>
      <c r="H358" s="5" t="s">
        <v>22</v>
      </c>
      <c r="I358" s="5" t="s">
        <v>23</v>
      </c>
      <c r="J358" s="6" t="str">
        <f aca="false">HYPERLINK("https://www.siemens.com/","Official site")</f>
        <v>Official site</v>
      </c>
      <c r="K358" s="6" t="str">
        <f aca="false">HYPERLINK("https://www.siemens.com/en-gb/products/tia-portal/step7/","Evidence / lead")</f>
        <v>Evidence / lead</v>
      </c>
      <c r="L358" s="6" t="str">
        <f aca="false">HYPERLINK("https://www.siemens.com/","Language source")</f>
        <v>Language source</v>
      </c>
    </row>
    <row r="359" customFormat="false" ht="23.85" hidden="false" customHeight="false" outlineLevel="0" collapsed="false">
      <c r="A359" s="5" t="s">
        <v>1154</v>
      </c>
      <c r="B359" s="5" t="s">
        <v>1164</v>
      </c>
      <c r="C359" s="5" t="s">
        <v>17</v>
      </c>
      <c r="D359" s="5" t="s">
        <v>1165</v>
      </c>
      <c r="E359" s="5" t="s">
        <v>1166</v>
      </c>
      <c r="F359" s="5" t="s">
        <v>211</v>
      </c>
      <c r="G359" s="5" t="s">
        <v>212</v>
      </c>
      <c r="H359" s="5" t="s">
        <v>22</v>
      </c>
      <c r="I359" s="5" t="s">
        <v>23</v>
      </c>
      <c r="J359" s="6" t="str">
        <f aca="false">HYPERLINK("https://www.flexsim.com/","Official site")</f>
        <v>Official site</v>
      </c>
      <c r="K359" s="6" t="str">
        <f aca="false">HYPERLINK("https://www.flexsim.com/","Evidence / lead")</f>
        <v>Evidence / lead</v>
      </c>
      <c r="L359" s="6" t="str">
        <f aca="false">HYPERLINK("https://www.flexsim.com/","Language source")</f>
        <v>Language source</v>
      </c>
    </row>
    <row r="360" customFormat="false" ht="23.85" hidden="false" customHeight="false" outlineLevel="0" collapsed="false">
      <c r="A360" s="5" t="s">
        <v>1154</v>
      </c>
      <c r="B360" s="5" t="s">
        <v>1167</v>
      </c>
      <c r="C360" s="5" t="s">
        <v>17</v>
      </c>
      <c r="D360" s="5" t="s">
        <v>1168</v>
      </c>
      <c r="E360" s="5" t="s">
        <v>1169</v>
      </c>
      <c r="F360" s="5" t="s">
        <v>211</v>
      </c>
      <c r="G360" s="5" t="s">
        <v>212</v>
      </c>
      <c r="H360" s="5" t="s">
        <v>22</v>
      </c>
      <c r="I360" s="5" t="s">
        <v>30</v>
      </c>
      <c r="J360" s="6" t="str">
        <f aca="false">HYPERLINK("https://www.rockwellautomation.com/","Official site")</f>
        <v>Official site</v>
      </c>
      <c r="K360" s="6" t="str">
        <f aca="false">HYPERLINK("https://www.rockwellautomation.com/","Evidence / lead")</f>
        <v>Evidence / lead</v>
      </c>
      <c r="L360" s="6" t="str">
        <f aca="false">HYPERLINK("https://www.rockwellautomation.com/","Language source")</f>
        <v>Language source</v>
      </c>
    </row>
    <row r="361" customFormat="false" ht="23.85" hidden="false" customHeight="false" outlineLevel="0" collapsed="false">
      <c r="A361" s="5" t="s">
        <v>1154</v>
      </c>
      <c r="B361" s="5" t="s">
        <v>1170</v>
      </c>
      <c r="C361" s="5" t="s">
        <v>17</v>
      </c>
      <c r="D361" s="5" t="s">
        <v>1171</v>
      </c>
      <c r="E361" s="5" t="s">
        <v>1172</v>
      </c>
      <c r="F361" s="5" t="s">
        <v>211</v>
      </c>
      <c r="G361" s="5" t="s">
        <v>212</v>
      </c>
      <c r="H361" s="5" t="s">
        <v>22</v>
      </c>
      <c r="I361" s="5" t="s">
        <v>23</v>
      </c>
      <c r="J361" s="6" t="str">
        <f aca="false">HYPERLINK("https://www.simul8.com/","Official site")</f>
        <v>Official site</v>
      </c>
      <c r="K361" s="6" t="str">
        <f aca="false">HYPERLINK("https://www.simul8.com/","Evidence / lead")</f>
        <v>Evidence / lead</v>
      </c>
      <c r="L361" s="6" t="str">
        <f aca="false">HYPERLINK("https://www.simul8.com/","Language source")</f>
        <v>Language source</v>
      </c>
    </row>
    <row r="362" customFormat="false" ht="23.85" hidden="false" customHeight="false" outlineLevel="0" collapsed="false">
      <c r="A362" s="5" t="s">
        <v>1154</v>
      </c>
      <c r="B362" s="5" t="s">
        <v>1173</v>
      </c>
      <c r="C362" s="5" t="s">
        <v>17</v>
      </c>
      <c r="D362" s="5" t="s">
        <v>1174</v>
      </c>
      <c r="E362" s="5" t="s">
        <v>1175</v>
      </c>
      <c r="F362" s="5" t="s">
        <v>211</v>
      </c>
      <c r="G362" s="5" t="s">
        <v>212</v>
      </c>
      <c r="H362" s="5" t="s">
        <v>22</v>
      </c>
      <c r="I362" s="5" t="s">
        <v>23</v>
      </c>
      <c r="J362" s="6" t="str">
        <f aca="false">HYPERLINK("https://extendsim.com/","Official site")</f>
        <v>Official site</v>
      </c>
      <c r="K362" s="6" t="str">
        <f aca="false">HYPERLINK("https://extendsim.com/","Evidence / lead")</f>
        <v>Evidence / lead</v>
      </c>
      <c r="L362" s="6" t="str">
        <f aca="false">HYPERLINK("https://extendsim.com/","Language source")</f>
        <v>Language source</v>
      </c>
    </row>
    <row r="363" customFormat="false" ht="23.85" hidden="false" customHeight="false" outlineLevel="0" collapsed="false">
      <c r="A363" s="5" t="s">
        <v>1154</v>
      </c>
      <c r="B363" s="5" t="s">
        <v>1176</v>
      </c>
      <c r="C363" s="5" t="s">
        <v>17</v>
      </c>
      <c r="D363" s="5" t="s">
        <v>1177</v>
      </c>
      <c r="E363" s="5" t="s">
        <v>1178</v>
      </c>
      <c r="F363" s="5" t="s">
        <v>211</v>
      </c>
      <c r="G363" s="5" t="s">
        <v>212</v>
      </c>
      <c r="H363" s="5" t="s">
        <v>22</v>
      </c>
      <c r="I363" s="5" t="s">
        <v>37</v>
      </c>
      <c r="J363" s="6" t="str">
        <f aca="false">HYPERLINK("https://www.hbkworld.com/","Official site")</f>
        <v>Official site</v>
      </c>
      <c r="K363" s="6" t="str">
        <f aca="false">HYPERLINK("https://www.hbkworld.com/","Evidence / lead")</f>
        <v>Evidence / lead</v>
      </c>
      <c r="L363" s="6" t="str">
        <f aca="false">HYPERLINK("https://www.hbkworld.com/","Language source")</f>
        <v>Language source</v>
      </c>
    </row>
    <row r="364" customFormat="false" ht="15" hidden="false" customHeight="false" outlineLevel="0" collapsed="false">
      <c r="A364" s="5" t="s">
        <v>1154</v>
      </c>
      <c r="B364" s="5" t="s">
        <v>1179</v>
      </c>
      <c r="C364" s="5" t="s">
        <v>48</v>
      </c>
      <c r="D364" s="5" t="s">
        <v>1180</v>
      </c>
      <c r="E364" s="5" t="s">
        <v>1181</v>
      </c>
      <c r="F364" s="5" t="s">
        <v>58</v>
      </c>
      <c r="G364" s="5" t="s">
        <v>58</v>
      </c>
      <c r="H364" s="5" t="s">
        <v>1182</v>
      </c>
      <c r="I364" s="5" t="s">
        <v>23</v>
      </c>
      <c r="J364" s="6" t="str">
        <f aca="false">HYPERLINK("https://simpy.readthedocs.io/","Official site")</f>
        <v>Official site</v>
      </c>
      <c r="K364" s="6" t="str">
        <f aca="false">HYPERLINK("https://simpy.readthedocs.io/","Evidence / lead")</f>
        <v>Evidence / lead</v>
      </c>
      <c r="L364" s="6" t="str">
        <f aca="false">HYPERLINK("https://simpy.readthedocs.io/","Language source")</f>
        <v>Language source</v>
      </c>
    </row>
    <row r="365" customFormat="false" ht="23.85" hidden="false" customHeight="false" outlineLevel="0" collapsed="false">
      <c r="A365" s="5" t="s">
        <v>1154</v>
      </c>
      <c r="B365" s="5" t="s">
        <v>1183</v>
      </c>
      <c r="C365" s="5" t="s">
        <v>48</v>
      </c>
      <c r="D365" s="5" t="s">
        <v>1184</v>
      </c>
      <c r="E365" s="5" t="s">
        <v>1185</v>
      </c>
      <c r="F365" s="5" t="s">
        <v>151</v>
      </c>
      <c r="G365" s="5" t="s">
        <v>152</v>
      </c>
      <c r="H365" s="5" t="s">
        <v>153</v>
      </c>
      <c r="I365" s="5" t="s">
        <v>23</v>
      </c>
      <c r="J365" s="6" t="str">
        <f aca="false">HYPERLINK("https://jaamsim.com/","Official site")</f>
        <v>Official site</v>
      </c>
      <c r="K365" s="6" t="str">
        <f aca="false">HYPERLINK("https://jaamsim.com/","Evidence / lead")</f>
        <v>Evidence / lead</v>
      </c>
      <c r="L365" s="6" t="str">
        <f aca="false">HYPERLINK("https://jaamsim.com/","Language source")</f>
        <v>Language source</v>
      </c>
    </row>
    <row r="366" customFormat="false" ht="35.05" hidden="false" customHeight="false" outlineLevel="0" collapsed="false">
      <c r="A366" s="7" t="s">
        <v>1186</v>
      </c>
      <c r="B366" s="7" t="s">
        <v>1187</v>
      </c>
      <c r="C366" s="7" t="s">
        <v>117</v>
      </c>
      <c r="D366" s="7" t="s">
        <v>1188</v>
      </c>
      <c r="E366" s="7" t="s">
        <v>1189</v>
      </c>
      <c r="F366" s="7" t="s">
        <v>1190</v>
      </c>
      <c r="G366" s="7" t="s">
        <v>1191</v>
      </c>
      <c r="H366" s="7" t="s">
        <v>1192</v>
      </c>
      <c r="I366" s="7" t="s">
        <v>1193</v>
      </c>
      <c r="J366" s="8" t="str">
        <f aca="false">HYPERLINK("https://www.netacad.com/cisco-packet-tracer","Official site")</f>
        <v>Official site</v>
      </c>
      <c r="K366" s="8" t="str">
        <f aca="false">HYPERLINK("https://www.netacad.com/cisco-packet-tracer","Evidence / lead")</f>
        <v>Evidence / lead</v>
      </c>
      <c r="L366" s="8" t="str">
        <f aca="false">HYPERLINK("https://www.netacad.com/cisco-packet-tracer","Language source")</f>
        <v>Language source</v>
      </c>
    </row>
    <row r="367" customFormat="false" ht="35.05" hidden="false" customHeight="false" outlineLevel="0" collapsed="false">
      <c r="A367" s="7" t="s">
        <v>1186</v>
      </c>
      <c r="B367" s="7" t="s">
        <v>1194</v>
      </c>
      <c r="C367" s="7" t="s">
        <v>297</v>
      </c>
      <c r="D367" s="7" t="s">
        <v>1195</v>
      </c>
      <c r="E367" s="7" t="s">
        <v>1196</v>
      </c>
      <c r="F367" s="7" t="s">
        <v>1190</v>
      </c>
      <c r="G367" s="7" t="s">
        <v>1197</v>
      </c>
      <c r="H367" s="7" t="s">
        <v>1192</v>
      </c>
      <c r="I367" s="7" t="s">
        <v>1193</v>
      </c>
      <c r="J367" s="8" t="str">
        <f aca="false">HYPERLINK("https://developer.cisco.com/modeling-labs/","Official site")</f>
        <v>Official site</v>
      </c>
      <c r="K367" s="8" t="str">
        <f aca="false">HYPERLINK("https://developer.cisco.com/modeling-labs/","Evidence / lead")</f>
        <v>Evidence / lead</v>
      </c>
      <c r="L367" s="8" t="str">
        <f aca="false">HYPERLINK("https://developer.cisco.com/modeling-labs/","Language source")</f>
        <v>Language source</v>
      </c>
    </row>
    <row r="368" customFormat="false" ht="23.85" hidden="false" customHeight="false" outlineLevel="0" collapsed="false">
      <c r="A368" s="7" t="s">
        <v>1186</v>
      </c>
      <c r="B368" s="7" t="s">
        <v>1198</v>
      </c>
      <c r="C368" s="7" t="s">
        <v>48</v>
      </c>
      <c r="D368" s="7" t="s">
        <v>1199</v>
      </c>
      <c r="E368" s="7" t="s">
        <v>1200</v>
      </c>
      <c r="F368" s="7" t="s">
        <v>1201</v>
      </c>
      <c r="G368" s="7" t="s">
        <v>1202</v>
      </c>
      <c r="H368" s="7" t="s">
        <v>1203</v>
      </c>
      <c r="I368" s="7" t="s">
        <v>1193</v>
      </c>
      <c r="J368" s="8" t="str">
        <f aca="false">HYPERLINK("https://www.gns3.com/","Official site")</f>
        <v>Official site</v>
      </c>
      <c r="K368" s="8" t="str">
        <f aca="false">HYPERLINK("https://github.com/GNS3/gns3-server","Evidence / lead")</f>
        <v>Evidence / lead</v>
      </c>
      <c r="L368" s="8" t="str">
        <f aca="false">HYPERLINK("https://github.com/GNS3/gns3-server","Language source")</f>
        <v>Language source</v>
      </c>
    </row>
    <row r="369" customFormat="false" ht="35.05" hidden="false" customHeight="false" outlineLevel="0" collapsed="false">
      <c r="A369" s="7" t="s">
        <v>1186</v>
      </c>
      <c r="B369" s="7" t="s">
        <v>1204</v>
      </c>
      <c r="C369" s="7" t="s">
        <v>297</v>
      </c>
      <c r="D369" s="7" t="s">
        <v>1205</v>
      </c>
      <c r="E369" s="7" t="s">
        <v>1206</v>
      </c>
      <c r="F369" s="7" t="s">
        <v>1190</v>
      </c>
      <c r="G369" s="7" t="s">
        <v>1207</v>
      </c>
      <c r="H369" s="7" t="s">
        <v>1192</v>
      </c>
      <c r="I369" s="7" t="s">
        <v>1193</v>
      </c>
      <c r="J369" s="8" t="str">
        <f aca="false">HYPERLINK("https://www.eve-ng.net/","Official site")</f>
        <v>Official site</v>
      </c>
      <c r="K369" s="8" t="str">
        <f aca="false">HYPERLINK("https://www.eve-ng.net/","Evidence / lead")</f>
        <v>Evidence / lead</v>
      </c>
      <c r="L369" s="8" t="str">
        <f aca="false">HYPERLINK("https://www.eve-ng.net/","Language source")</f>
        <v>Language source</v>
      </c>
    </row>
    <row r="370" customFormat="false" ht="35.05" hidden="false" customHeight="false" outlineLevel="0" collapsed="false">
      <c r="A370" s="7" t="s">
        <v>1186</v>
      </c>
      <c r="B370" s="7" t="s">
        <v>1208</v>
      </c>
      <c r="C370" s="7" t="s">
        <v>17</v>
      </c>
      <c r="D370" s="7" t="s">
        <v>1209</v>
      </c>
      <c r="E370" s="7" t="s">
        <v>1210</v>
      </c>
      <c r="F370" s="7" t="s">
        <v>1190</v>
      </c>
      <c r="G370" s="7" t="s">
        <v>1211</v>
      </c>
      <c r="H370" s="7" t="s">
        <v>1192</v>
      </c>
      <c r="I370" s="7" t="s">
        <v>37</v>
      </c>
      <c r="J370" s="8" t="str">
        <f aca="false">HYPERLINK("https://www.riverbed.com/","Official site")</f>
        <v>Official site</v>
      </c>
      <c r="K370" s="8" t="str">
        <f aca="false">HYPERLINK("https://www.riverbed.com/","Evidence / lead")</f>
        <v>Evidence / lead</v>
      </c>
      <c r="L370" s="8" t="str">
        <f aca="false">HYPERLINK("https://www.riverbed.com/","Language source")</f>
        <v>Language source</v>
      </c>
    </row>
    <row r="371" customFormat="false" ht="35.05" hidden="false" customHeight="false" outlineLevel="0" collapsed="false">
      <c r="A371" s="7" t="s">
        <v>1186</v>
      </c>
      <c r="B371" s="7" t="s">
        <v>1212</v>
      </c>
      <c r="C371" s="7" t="s">
        <v>17</v>
      </c>
      <c r="D371" s="7" t="s">
        <v>1213</v>
      </c>
      <c r="E371" s="7" t="s">
        <v>1214</v>
      </c>
      <c r="F371" s="7" t="s">
        <v>1190</v>
      </c>
      <c r="G371" s="7" t="s">
        <v>1215</v>
      </c>
      <c r="H371" s="7" t="s">
        <v>1192</v>
      </c>
      <c r="I371" s="7" t="s">
        <v>1193</v>
      </c>
      <c r="J371" s="8" t="str">
        <f aca="false">HYPERLINK("https://www.tetcos.com/","Official site")</f>
        <v>Official site</v>
      </c>
      <c r="K371" s="8" t="str">
        <f aca="false">HYPERLINK("https://www.tetcos.com/","Evidence / lead")</f>
        <v>Evidence / lead</v>
      </c>
      <c r="L371" s="8" t="str">
        <f aca="false">HYPERLINK("https://www.tetcos.com/","Language source")</f>
        <v>Language source</v>
      </c>
    </row>
    <row r="372" customFormat="false" ht="23.85" hidden="false" customHeight="false" outlineLevel="0" collapsed="false">
      <c r="A372" s="7" t="s">
        <v>1186</v>
      </c>
      <c r="B372" s="7" t="s">
        <v>1216</v>
      </c>
      <c r="C372" s="7" t="s">
        <v>48</v>
      </c>
      <c r="D372" s="7" t="s">
        <v>1217</v>
      </c>
      <c r="E372" s="7" t="s">
        <v>1218</v>
      </c>
      <c r="F372" s="7" t="s">
        <v>1219</v>
      </c>
      <c r="G372" s="7" t="s">
        <v>1220</v>
      </c>
      <c r="H372" s="7" t="s">
        <v>1203</v>
      </c>
      <c r="I372" s="7" t="s">
        <v>1193</v>
      </c>
      <c r="J372" s="8" t="str">
        <f aca="false">HYPERLINK("https://containerlab.dev/","Official site")</f>
        <v>Official site</v>
      </c>
      <c r="K372" s="8" t="str">
        <f aca="false">HYPERLINK("https://github.com/srl-labs/containerlab","Evidence / lead")</f>
        <v>Evidence / lead</v>
      </c>
      <c r="L372" s="8" t="str">
        <f aca="false">HYPERLINK("https://github.com/srl-labs/containerlab","Language source")</f>
        <v>Language source</v>
      </c>
    </row>
    <row r="373" customFormat="false" ht="23.85" hidden="false" customHeight="false" outlineLevel="0" collapsed="false">
      <c r="A373" s="7" t="s">
        <v>1186</v>
      </c>
      <c r="B373" s="7" t="s">
        <v>1221</v>
      </c>
      <c r="C373" s="7" t="s">
        <v>48</v>
      </c>
      <c r="D373" s="7" t="s">
        <v>1222</v>
      </c>
      <c r="E373" s="7" t="s">
        <v>1223</v>
      </c>
      <c r="F373" s="7" t="s">
        <v>1224</v>
      </c>
      <c r="G373" s="7" t="s">
        <v>1225</v>
      </c>
      <c r="H373" s="7" t="s">
        <v>1203</v>
      </c>
      <c r="I373" s="7" t="s">
        <v>1193</v>
      </c>
      <c r="J373" s="8" t="str">
        <f aca="false">HYPERLINK("https://mininet.org/","Official site")</f>
        <v>Official site</v>
      </c>
      <c r="K373" s="8" t="str">
        <f aca="false">HYPERLINK("https://github.com/mininet/mininet","Evidence / lead")</f>
        <v>Evidence / lead</v>
      </c>
      <c r="L373" s="8" t="str">
        <f aca="false">HYPERLINK("https://github.com/mininet/mininet","Language source")</f>
        <v>Language source</v>
      </c>
    </row>
    <row r="374" customFormat="false" ht="23.85" hidden="false" customHeight="false" outlineLevel="0" collapsed="false">
      <c r="A374" s="7" t="s">
        <v>1186</v>
      </c>
      <c r="B374" s="7" t="s">
        <v>1226</v>
      </c>
      <c r="C374" s="7" t="s">
        <v>48</v>
      </c>
      <c r="D374" s="7" t="s">
        <v>1227</v>
      </c>
      <c r="E374" s="7" t="s">
        <v>1228</v>
      </c>
      <c r="F374" s="7" t="s">
        <v>653</v>
      </c>
      <c r="G374" s="7" t="s">
        <v>722</v>
      </c>
      <c r="H374" s="7" t="s">
        <v>1203</v>
      </c>
      <c r="I374" s="7" t="s">
        <v>1193</v>
      </c>
      <c r="J374" s="8" t="str">
        <f aca="false">HYPERLINK("https://www.nsnam.org/","Official site")</f>
        <v>Official site</v>
      </c>
      <c r="K374" s="8" t="str">
        <f aca="false">HYPERLINK("https://gitlab.com/nsnam/ns-3-dev","Evidence / lead")</f>
        <v>Evidence / lead</v>
      </c>
      <c r="L374" s="8" t="str">
        <f aca="false">HYPERLINK("https://gitlab.com/nsnam/ns-3-dev","Language source")</f>
        <v>Language source</v>
      </c>
    </row>
    <row r="375" customFormat="false" ht="23.85" hidden="false" customHeight="false" outlineLevel="0" collapsed="false">
      <c r="A375" s="7" t="s">
        <v>1186</v>
      </c>
      <c r="B375" s="7" t="s">
        <v>1229</v>
      </c>
      <c r="C375" s="7" t="s">
        <v>849</v>
      </c>
      <c r="D375" s="7" t="s">
        <v>1230</v>
      </c>
      <c r="E375" s="7" t="s">
        <v>1231</v>
      </c>
      <c r="F375" s="7" t="s">
        <v>653</v>
      </c>
      <c r="G375" s="7" t="s">
        <v>1232</v>
      </c>
      <c r="H375" s="7" t="s">
        <v>1203</v>
      </c>
      <c r="I375" s="7" t="s">
        <v>1193</v>
      </c>
      <c r="J375" s="8" t="str">
        <f aca="false">HYPERLINK("https://omnetpp.org/","Official site")</f>
        <v>Official site</v>
      </c>
      <c r="K375" s="8" t="str">
        <f aca="false">HYPERLINK("https://github.com/omnetpp/omnetpp","Evidence / lead")</f>
        <v>Evidence / lead</v>
      </c>
      <c r="L375" s="8" t="str">
        <f aca="false">HYPERLINK("https://github.com/omnetpp/omnetpp","Language source")</f>
        <v>Language source</v>
      </c>
    </row>
    <row r="376" customFormat="false" ht="35.05" hidden="false" customHeight="false" outlineLevel="0" collapsed="false">
      <c r="A376" s="7" t="s">
        <v>1233</v>
      </c>
      <c r="B376" s="7" t="s">
        <v>1234</v>
      </c>
      <c r="C376" s="7" t="s">
        <v>17</v>
      </c>
      <c r="D376" s="7" t="s">
        <v>1235</v>
      </c>
      <c r="E376" s="7" t="s">
        <v>1236</v>
      </c>
      <c r="F376" s="7" t="s">
        <v>1190</v>
      </c>
      <c r="G376" s="7" t="s">
        <v>1237</v>
      </c>
      <c r="H376" s="7" t="s">
        <v>1192</v>
      </c>
      <c r="I376" s="7" t="s">
        <v>1193</v>
      </c>
      <c r="J376" s="8" t="str">
        <f aca="false">HYPERLINK("https://www.solarwinds.com/network-performance-monitor","Official site")</f>
        <v>Official site</v>
      </c>
      <c r="K376" s="8" t="str">
        <f aca="false">HYPERLINK("https://www.solarwinds.com/network-performance-monitor","Evidence / lead")</f>
        <v>Evidence / lead</v>
      </c>
      <c r="L376" s="8" t="str">
        <f aca="false">HYPERLINK("https://www.solarwinds.com/network-performance-monitor","Language source")</f>
        <v>Language source</v>
      </c>
    </row>
    <row r="377" customFormat="false" ht="35.05" hidden="false" customHeight="false" outlineLevel="0" collapsed="false">
      <c r="A377" s="7" t="s">
        <v>1233</v>
      </c>
      <c r="B377" s="7" t="s">
        <v>1238</v>
      </c>
      <c r="C377" s="7" t="s">
        <v>17</v>
      </c>
      <c r="D377" s="7" t="s">
        <v>1239</v>
      </c>
      <c r="E377" s="7" t="s">
        <v>1240</v>
      </c>
      <c r="F377" s="7" t="s">
        <v>1190</v>
      </c>
      <c r="G377" s="7" t="s">
        <v>1241</v>
      </c>
      <c r="H377" s="7" t="s">
        <v>1192</v>
      </c>
      <c r="I377" s="7" t="s">
        <v>1193</v>
      </c>
      <c r="J377" s="8" t="str">
        <f aca="false">HYPERLINK("https://www.paessler.com/prtg","Official site")</f>
        <v>Official site</v>
      </c>
      <c r="K377" s="8" t="str">
        <f aca="false">HYPERLINK("https://www.paessler.com/prtg","Evidence / lead")</f>
        <v>Evidence / lead</v>
      </c>
      <c r="L377" s="8" t="str">
        <f aca="false">HYPERLINK("https://www.paessler.com/prtg","Language source")</f>
        <v>Language source</v>
      </c>
    </row>
    <row r="378" customFormat="false" ht="35.05" hidden="false" customHeight="false" outlineLevel="0" collapsed="false">
      <c r="A378" s="7" t="s">
        <v>1233</v>
      </c>
      <c r="B378" s="7" t="s">
        <v>1242</v>
      </c>
      <c r="C378" s="7" t="s">
        <v>17</v>
      </c>
      <c r="D378" s="7" t="s">
        <v>1243</v>
      </c>
      <c r="E378" s="7" t="s">
        <v>1244</v>
      </c>
      <c r="F378" s="7" t="s">
        <v>1190</v>
      </c>
      <c r="G378" s="7" t="s">
        <v>1245</v>
      </c>
      <c r="H378" s="7" t="s">
        <v>1192</v>
      </c>
      <c r="I378" s="7" t="s">
        <v>1193</v>
      </c>
      <c r="J378" s="8" t="str">
        <f aca="false">HYPERLINK("https://www.datadoghq.com/","Official site")</f>
        <v>Official site</v>
      </c>
      <c r="K378" s="8" t="str">
        <f aca="false">HYPERLINK("https://www.datadoghq.com/","Evidence / lead")</f>
        <v>Evidence / lead</v>
      </c>
      <c r="L378" s="8" t="str">
        <f aca="false">HYPERLINK("https://www.datadoghq.com/","Language source")</f>
        <v>Language source</v>
      </c>
    </row>
    <row r="379" customFormat="false" ht="35.05" hidden="false" customHeight="false" outlineLevel="0" collapsed="false">
      <c r="A379" s="7" t="s">
        <v>1233</v>
      </c>
      <c r="B379" s="7" t="s">
        <v>1246</v>
      </c>
      <c r="C379" s="7" t="s">
        <v>17</v>
      </c>
      <c r="D379" s="7" t="s">
        <v>1247</v>
      </c>
      <c r="E379" s="7" t="s">
        <v>1248</v>
      </c>
      <c r="F379" s="7" t="s">
        <v>1190</v>
      </c>
      <c r="G379" s="7" t="s">
        <v>1249</v>
      </c>
      <c r="H379" s="7" t="s">
        <v>1192</v>
      </c>
      <c r="I379" s="7" t="s">
        <v>1193</v>
      </c>
      <c r="J379" s="8" t="str">
        <f aca="false">HYPERLINK("https://www.logicmonitor.com/","Official site")</f>
        <v>Official site</v>
      </c>
      <c r="K379" s="8" t="str">
        <f aca="false">HYPERLINK("https://www.logicmonitor.com/","Evidence / lead")</f>
        <v>Evidence / lead</v>
      </c>
      <c r="L379" s="8" t="str">
        <f aca="false">HYPERLINK("https://www.logicmonitor.com/","Language source")</f>
        <v>Language source</v>
      </c>
    </row>
    <row r="380" customFormat="false" ht="23.85" hidden="false" customHeight="false" outlineLevel="0" collapsed="false">
      <c r="A380" s="7" t="s">
        <v>1233</v>
      </c>
      <c r="B380" s="7" t="s">
        <v>1250</v>
      </c>
      <c r="C380" s="7" t="s">
        <v>48</v>
      </c>
      <c r="D380" s="7" t="s">
        <v>1251</v>
      </c>
      <c r="E380" s="7" t="s">
        <v>1252</v>
      </c>
      <c r="F380" s="7" t="s">
        <v>1253</v>
      </c>
      <c r="G380" s="7" t="s">
        <v>1254</v>
      </c>
      <c r="H380" s="7" t="s">
        <v>1203</v>
      </c>
      <c r="I380" s="7" t="s">
        <v>1193</v>
      </c>
      <c r="J380" s="8" t="str">
        <f aca="false">HYPERLINK("https://www.zabbix.com/","Official site")</f>
        <v>Official site</v>
      </c>
      <c r="K380" s="8" t="str">
        <f aca="false">HYPERLINK("https://github.com/zabbix/zabbix","Evidence / lead")</f>
        <v>Evidence / lead</v>
      </c>
      <c r="L380" s="8" t="str">
        <f aca="false">HYPERLINK("https://github.com/zabbix/zabbix","Language source")</f>
        <v>Language source</v>
      </c>
    </row>
    <row r="381" customFormat="false" ht="23.85" hidden="false" customHeight="false" outlineLevel="0" collapsed="false">
      <c r="A381" s="7" t="s">
        <v>1233</v>
      </c>
      <c r="B381" s="7" t="s">
        <v>1255</v>
      </c>
      <c r="C381" s="7" t="s">
        <v>232</v>
      </c>
      <c r="D381" s="7" t="s">
        <v>1256</v>
      </c>
      <c r="E381" s="7" t="s">
        <v>1257</v>
      </c>
      <c r="F381" s="7" t="s">
        <v>1258</v>
      </c>
      <c r="G381" s="7" t="s">
        <v>1259</v>
      </c>
      <c r="H381" s="7" t="s">
        <v>1203</v>
      </c>
      <c r="I381" s="7" t="s">
        <v>1193</v>
      </c>
      <c r="J381" s="8" t="str">
        <f aca="false">HYPERLINK("https://www.nagios.org/","Official site")</f>
        <v>Official site</v>
      </c>
      <c r="K381" s="8" t="str">
        <f aca="false">HYPERLINK("https://github.com/NagiosEnterprises/nagioscore","Evidence / lead")</f>
        <v>Evidence / lead</v>
      </c>
      <c r="L381" s="8" t="str">
        <f aca="false">HYPERLINK("https://github.com/NagiosEnterprises/nagioscore","Language source")</f>
        <v>Language source</v>
      </c>
    </row>
    <row r="382" customFormat="false" ht="23.85" hidden="false" customHeight="false" outlineLevel="0" collapsed="false">
      <c r="A382" s="7" t="s">
        <v>1233</v>
      </c>
      <c r="B382" s="7" t="s">
        <v>1260</v>
      </c>
      <c r="C382" s="7" t="s">
        <v>48</v>
      </c>
      <c r="D382" s="7" t="s">
        <v>1261</v>
      </c>
      <c r="E382" s="7" t="s">
        <v>1262</v>
      </c>
      <c r="F382" s="7" t="s">
        <v>1263</v>
      </c>
      <c r="G382" s="7" t="s">
        <v>1264</v>
      </c>
      <c r="H382" s="7" t="s">
        <v>1203</v>
      </c>
      <c r="I382" s="7" t="s">
        <v>1193</v>
      </c>
      <c r="J382" s="8" t="str">
        <f aca="false">HYPERLINK("https://www.librenms.org/","Official site")</f>
        <v>Official site</v>
      </c>
      <c r="K382" s="8" t="str">
        <f aca="false">HYPERLINK("https://github.com/librenms/librenms","Evidence / lead")</f>
        <v>Evidence / lead</v>
      </c>
      <c r="L382" s="8" t="str">
        <f aca="false">HYPERLINK("https://github.com/librenms/librenms","Language source")</f>
        <v>Language source</v>
      </c>
    </row>
    <row r="383" customFormat="false" ht="23.85" hidden="false" customHeight="false" outlineLevel="0" collapsed="false">
      <c r="A383" s="7" t="s">
        <v>1233</v>
      </c>
      <c r="B383" s="7" t="s">
        <v>1265</v>
      </c>
      <c r="C383" s="7" t="s">
        <v>48</v>
      </c>
      <c r="D383" s="7" t="s">
        <v>1266</v>
      </c>
      <c r="E383" s="7" t="s">
        <v>1267</v>
      </c>
      <c r="F383" s="7" t="s">
        <v>1268</v>
      </c>
      <c r="G383" s="7" t="s">
        <v>1269</v>
      </c>
      <c r="H383" s="7" t="s">
        <v>1203</v>
      </c>
      <c r="I383" s="7" t="s">
        <v>1193</v>
      </c>
      <c r="J383" s="8" t="str">
        <f aca="false">HYPERLINK("https://prometheus.io/","Official site")</f>
        <v>Official site</v>
      </c>
      <c r="K383" s="8" t="str">
        <f aca="false">HYPERLINK("https://github.com/prometheus/prometheus","Evidence / lead")</f>
        <v>Evidence / lead</v>
      </c>
      <c r="L383" s="8" t="str">
        <f aca="false">HYPERLINK("https://github.com/prometheus/prometheus","Language source")</f>
        <v>Language source</v>
      </c>
    </row>
    <row r="384" customFormat="false" ht="23.85" hidden="false" customHeight="false" outlineLevel="0" collapsed="false">
      <c r="A384" s="7" t="s">
        <v>1233</v>
      </c>
      <c r="B384" s="7" t="s">
        <v>1270</v>
      </c>
      <c r="C384" s="7" t="s">
        <v>232</v>
      </c>
      <c r="D384" s="7" t="s">
        <v>1271</v>
      </c>
      <c r="E384" s="7" t="s">
        <v>1272</v>
      </c>
      <c r="F384" s="7" t="s">
        <v>1273</v>
      </c>
      <c r="G384" s="7" t="s">
        <v>1274</v>
      </c>
      <c r="H384" s="7" t="s">
        <v>1203</v>
      </c>
      <c r="I384" s="7" t="s">
        <v>1193</v>
      </c>
      <c r="J384" s="8" t="str">
        <f aca="false">HYPERLINK("https://checkmk.com/","Official site")</f>
        <v>Official site</v>
      </c>
      <c r="K384" s="8" t="str">
        <f aca="false">HYPERLINK("https://github.com/Checkmk/checkmk","Evidence / lead")</f>
        <v>Evidence / lead</v>
      </c>
      <c r="L384" s="8" t="str">
        <f aca="false">HYPERLINK("https://github.com/Checkmk/checkmk","Language source")</f>
        <v>Language source</v>
      </c>
    </row>
    <row r="385" customFormat="false" ht="35.05" hidden="false" customHeight="false" outlineLevel="0" collapsed="false">
      <c r="A385" s="7" t="s">
        <v>1233</v>
      </c>
      <c r="B385" s="7" t="s">
        <v>1275</v>
      </c>
      <c r="C385" s="7" t="s">
        <v>297</v>
      </c>
      <c r="D385" s="7" t="s">
        <v>1276</v>
      </c>
      <c r="E385" s="7" t="s">
        <v>1277</v>
      </c>
      <c r="F385" s="7" t="s">
        <v>1190</v>
      </c>
      <c r="G385" s="7" t="s">
        <v>1278</v>
      </c>
      <c r="H385" s="7" t="s">
        <v>1192</v>
      </c>
      <c r="I385" s="7" t="s">
        <v>1193</v>
      </c>
      <c r="J385" s="8" t="str">
        <f aca="false">HYPERLINK("https://www.observium.org/","Official site")</f>
        <v>Official site</v>
      </c>
      <c r="K385" s="8" t="str">
        <f aca="false">HYPERLINK("https://www.observium.org/","Evidence / lead")</f>
        <v>Evidence / lead</v>
      </c>
      <c r="L385" s="8" t="str">
        <f aca="false">HYPERLINK("https://www.observium.org/","Language source")</f>
        <v>Language source</v>
      </c>
    </row>
    <row r="386" customFormat="false" ht="35.05" hidden="false" customHeight="false" outlineLevel="0" collapsed="false">
      <c r="A386" s="7" t="s">
        <v>1279</v>
      </c>
      <c r="B386" s="7" t="s">
        <v>1280</v>
      </c>
      <c r="C386" s="7" t="s">
        <v>17</v>
      </c>
      <c r="D386" s="7" t="s">
        <v>1281</v>
      </c>
      <c r="E386" s="7" t="s">
        <v>1282</v>
      </c>
      <c r="F386" s="7" t="s">
        <v>1190</v>
      </c>
      <c r="G386" s="7" t="s">
        <v>1283</v>
      </c>
      <c r="H386" s="7" t="s">
        <v>1192</v>
      </c>
      <c r="I386" s="7" t="s">
        <v>1193</v>
      </c>
      <c r="J386" s="8" t="str">
        <f aca="false">HYPERLINK("https://developer.cisco.com/docs/catalyst-center/","Official site")</f>
        <v>Official site</v>
      </c>
      <c r="K386" s="8" t="str">
        <f aca="false">HYPERLINK("https://developer.cisco.com/docs/catalyst-center/","Evidence / lead")</f>
        <v>Evidence / lead</v>
      </c>
      <c r="L386" s="8" t="str">
        <f aca="false">HYPERLINK("https://developer.cisco.com/docs/catalyst-center/","Language source")</f>
        <v>Language source</v>
      </c>
    </row>
    <row r="387" customFormat="false" ht="35.05" hidden="false" customHeight="false" outlineLevel="0" collapsed="false">
      <c r="A387" s="7" t="s">
        <v>1279</v>
      </c>
      <c r="B387" s="7" t="s">
        <v>1284</v>
      </c>
      <c r="C387" s="7" t="s">
        <v>17</v>
      </c>
      <c r="D387" s="7" t="s">
        <v>1285</v>
      </c>
      <c r="E387" s="7" t="s">
        <v>1286</v>
      </c>
      <c r="F387" s="7" t="s">
        <v>1190</v>
      </c>
      <c r="G387" s="7" t="s">
        <v>1283</v>
      </c>
      <c r="H387" s="7" t="s">
        <v>1192</v>
      </c>
      <c r="I387" s="7" t="s">
        <v>1193</v>
      </c>
      <c r="J387" s="8" t="str">
        <f aca="false">HYPERLINK("https://www.juniper.net/us/en/products/network-automation/apstra.html","Official site")</f>
        <v>Official site</v>
      </c>
      <c r="K387" s="8" t="str">
        <f aca="false">HYPERLINK("https://www.juniper.net/us/en/products/network-automation/apstra.html","Evidence / lead")</f>
        <v>Evidence / lead</v>
      </c>
      <c r="L387" s="8" t="str">
        <f aca="false">HYPERLINK("https://www.juniper.net/us/en/products/network-automation/apstra.html","Language source")</f>
        <v>Language source</v>
      </c>
    </row>
    <row r="388" customFormat="false" ht="35.05" hidden="false" customHeight="false" outlineLevel="0" collapsed="false">
      <c r="A388" s="7" t="s">
        <v>1279</v>
      </c>
      <c r="B388" s="7" t="s">
        <v>1287</v>
      </c>
      <c r="C388" s="7" t="s">
        <v>17</v>
      </c>
      <c r="D388" s="7" t="s">
        <v>1288</v>
      </c>
      <c r="E388" s="7" t="s">
        <v>1289</v>
      </c>
      <c r="F388" s="7" t="s">
        <v>1190</v>
      </c>
      <c r="G388" s="7" t="s">
        <v>1290</v>
      </c>
      <c r="H388" s="7" t="s">
        <v>1192</v>
      </c>
      <c r="I388" s="7" t="s">
        <v>1193</v>
      </c>
      <c r="J388" s="8" t="str">
        <f aca="false">HYPERLINK("https://www.itential.com/","Official site")</f>
        <v>Official site</v>
      </c>
      <c r="K388" s="8" t="str">
        <f aca="false">HYPERLINK("https://www.itential.com/","Evidence / lead")</f>
        <v>Evidence / lead</v>
      </c>
      <c r="L388" s="8" t="str">
        <f aca="false">HYPERLINK("https://www.itential.com/","Language source")</f>
        <v>Language source</v>
      </c>
    </row>
    <row r="389" customFormat="false" ht="35.05" hidden="false" customHeight="false" outlineLevel="0" collapsed="false">
      <c r="A389" s="7" t="s">
        <v>1279</v>
      </c>
      <c r="B389" s="7" t="s">
        <v>1291</v>
      </c>
      <c r="C389" s="7" t="s">
        <v>17</v>
      </c>
      <c r="D389" s="7" t="s">
        <v>1292</v>
      </c>
      <c r="E389" s="7" t="s">
        <v>1293</v>
      </c>
      <c r="F389" s="7" t="s">
        <v>1190</v>
      </c>
      <c r="G389" s="7" t="s">
        <v>1294</v>
      </c>
      <c r="H389" s="7" t="s">
        <v>1192</v>
      </c>
      <c r="I389" s="7" t="s">
        <v>1193</v>
      </c>
      <c r="J389" s="8" t="str">
        <f aca="false">HYPERLINK("https://www.forwardnetworks.com/","Official site")</f>
        <v>Official site</v>
      </c>
      <c r="K389" s="8" t="str">
        <f aca="false">HYPERLINK("https://www.forwardnetworks.com/","Evidence / lead")</f>
        <v>Evidence / lead</v>
      </c>
      <c r="L389" s="8" t="str">
        <f aca="false">HYPERLINK("https://www.forwardnetworks.com/","Language source")</f>
        <v>Language source</v>
      </c>
    </row>
    <row r="390" customFormat="false" ht="35.05" hidden="false" customHeight="false" outlineLevel="0" collapsed="false">
      <c r="A390" s="7" t="s">
        <v>1279</v>
      </c>
      <c r="B390" s="7" t="s">
        <v>1295</v>
      </c>
      <c r="C390" s="7" t="s">
        <v>17</v>
      </c>
      <c r="D390" s="7" t="s">
        <v>1296</v>
      </c>
      <c r="E390" s="7" t="s">
        <v>1297</v>
      </c>
      <c r="F390" s="7" t="s">
        <v>1190</v>
      </c>
      <c r="G390" s="7" t="s">
        <v>1298</v>
      </c>
      <c r="H390" s="7" t="s">
        <v>1192</v>
      </c>
      <c r="I390" s="7" t="s">
        <v>1193</v>
      </c>
      <c r="J390" s="8" t="str">
        <f aca="false">HYPERLINK("https://www.netbraintech.com/","Official site")</f>
        <v>Official site</v>
      </c>
      <c r="K390" s="8" t="str">
        <f aca="false">HYPERLINK("https://www.netbraintech.com/","Evidence / lead")</f>
        <v>Evidence / lead</v>
      </c>
      <c r="L390" s="8" t="str">
        <f aca="false">HYPERLINK("https://www.netbraintech.com/","Language source")</f>
        <v>Language source</v>
      </c>
    </row>
    <row r="391" customFormat="false" ht="23.85" hidden="false" customHeight="false" outlineLevel="0" collapsed="false">
      <c r="A391" s="7" t="s">
        <v>1279</v>
      </c>
      <c r="B391" s="7" t="s">
        <v>1299</v>
      </c>
      <c r="C391" s="7" t="s">
        <v>232</v>
      </c>
      <c r="D391" s="7" t="s">
        <v>1300</v>
      </c>
      <c r="E391" s="7" t="s">
        <v>1301</v>
      </c>
      <c r="F391" s="7" t="s">
        <v>58</v>
      </c>
      <c r="G391" s="7" t="s">
        <v>1302</v>
      </c>
      <c r="H391" s="7" t="s">
        <v>1203</v>
      </c>
      <c r="I391" s="7" t="s">
        <v>1193</v>
      </c>
      <c r="J391" s="8" t="str">
        <f aca="false">HYPERLINK("https://docs.ansible.com/","Official site")</f>
        <v>Official site</v>
      </c>
      <c r="K391" s="8" t="str">
        <f aca="false">HYPERLINK("https://github.com/ansible/ansible","Evidence / lead")</f>
        <v>Evidence / lead</v>
      </c>
      <c r="L391" s="8" t="str">
        <f aca="false">HYPERLINK("https://github.com/ansible/ansible","Language source")</f>
        <v>Language source</v>
      </c>
    </row>
    <row r="392" customFormat="false" ht="23.85" hidden="false" customHeight="false" outlineLevel="0" collapsed="false">
      <c r="A392" s="7" t="s">
        <v>1279</v>
      </c>
      <c r="B392" s="7" t="s">
        <v>1303</v>
      </c>
      <c r="C392" s="7" t="s">
        <v>232</v>
      </c>
      <c r="D392" s="7" t="s">
        <v>1304</v>
      </c>
      <c r="E392" s="7" t="s">
        <v>1305</v>
      </c>
      <c r="F392" s="7" t="s">
        <v>1306</v>
      </c>
      <c r="G392" s="7" t="s">
        <v>1307</v>
      </c>
      <c r="H392" s="7" t="s">
        <v>1203</v>
      </c>
      <c r="I392" s="7" t="s">
        <v>1193</v>
      </c>
      <c r="J392" s="8" t="str">
        <f aca="false">HYPERLINK("https://netboxlabs.com/","Official site")</f>
        <v>Official site</v>
      </c>
      <c r="K392" s="8" t="str">
        <f aca="false">HYPERLINK("https://github.com/netbox-community/netbox","Evidence / lead")</f>
        <v>Evidence / lead</v>
      </c>
      <c r="L392" s="8" t="str">
        <f aca="false">HYPERLINK("https://github.com/netbox-community/netbox","Language source")</f>
        <v>Language source</v>
      </c>
    </row>
    <row r="393" customFormat="false" ht="23.85" hidden="false" customHeight="false" outlineLevel="0" collapsed="false">
      <c r="A393" s="7" t="s">
        <v>1279</v>
      </c>
      <c r="B393" s="7" t="s">
        <v>1308</v>
      </c>
      <c r="C393" s="7" t="s">
        <v>48</v>
      </c>
      <c r="D393" s="7" t="s">
        <v>1309</v>
      </c>
      <c r="E393" s="7" t="s">
        <v>1310</v>
      </c>
      <c r="F393" s="7" t="s">
        <v>1306</v>
      </c>
      <c r="G393" s="7" t="s">
        <v>1311</v>
      </c>
      <c r="H393" s="7" t="s">
        <v>1203</v>
      </c>
      <c r="I393" s="7" t="s">
        <v>1193</v>
      </c>
      <c r="J393" s="8" t="str">
        <f aca="false">HYPERLINK("https://networktocode.com/nautobot/","Official site")</f>
        <v>Official site</v>
      </c>
      <c r="K393" s="8" t="str">
        <f aca="false">HYPERLINK("https://github.com/nautobot/nautobot","Evidence / lead")</f>
        <v>Evidence / lead</v>
      </c>
      <c r="L393" s="8" t="str">
        <f aca="false">HYPERLINK("https://github.com/nautobot/nautobot","Language source")</f>
        <v>Language source</v>
      </c>
    </row>
    <row r="394" customFormat="false" ht="23.85" hidden="false" customHeight="false" outlineLevel="0" collapsed="false">
      <c r="A394" s="7" t="s">
        <v>1279</v>
      </c>
      <c r="B394" s="7" t="s">
        <v>1312</v>
      </c>
      <c r="C394" s="7" t="s">
        <v>48</v>
      </c>
      <c r="D394" s="7" t="s">
        <v>1313</v>
      </c>
      <c r="E394" s="7" t="s">
        <v>1314</v>
      </c>
      <c r="F394" s="7" t="s">
        <v>1315</v>
      </c>
      <c r="G394" s="7" t="s">
        <v>1316</v>
      </c>
      <c r="H394" s="7" t="s">
        <v>1203</v>
      </c>
      <c r="I394" s="7" t="s">
        <v>1193</v>
      </c>
      <c r="J394" s="8" t="str">
        <f aca="false">HYPERLINK("https://www.batfish.org/","Official site")</f>
        <v>Official site</v>
      </c>
      <c r="K394" s="8" t="str">
        <f aca="false">HYPERLINK("https://github.com/batfish/batfish","Evidence / lead")</f>
        <v>Evidence / lead</v>
      </c>
      <c r="L394" s="8" t="str">
        <f aca="false">HYPERLINK("https://github.com/batfish/batfish","Language source")</f>
        <v>Language source</v>
      </c>
    </row>
    <row r="395" customFormat="false" ht="23.85" hidden="false" customHeight="false" outlineLevel="0" collapsed="false">
      <c r="A395" s="7" t="s">
        <v>1279</v>
      </c>
      <c r="B395" s="7" t="s">
        <v>1317</v>
      </c>
      <c r="C395" s="7" t="s">
        <v>48</v>
      </c>
      <c r="D395" s="7" t="s">
        <v>1318</v>
      </c>
      <c r="E395" s="7" t="s">
        <v>1319</v>
      </c>
      <c r="F395" s="7" t="s">
        <v>58</v>
      </c>
      <c r="G395" s="7" t="s">
        <v>58</v>
      </c>
      <c r="H395" s="7" t="s">
        <v>1203</v>
      </c>
      <c r="I395" s="7" t="s">
        <v>1193</v>
      </c>
      <c r="J395" s="8" t="str">
        <f aca="false">HYPERLINK("https://napalm.readthedocs.io/","Official site")</f>
        <v>Official site</v>
      </c>
      <c r="K395" s="8" t="str">
        <f aca="false">HYPERLINK("https://github.com/napalm-automation/napalm","Evidence / lead")</f>
        <v>Evidence / lead</v>
      </c>
      <c r="L395" s="8" t="str">
        <f aca="false">HYPERLINK("https://github.com/napalm-automation/napalm","Language source")</f>
        <v>Language source</v>
      </c>
    </row>
    <row r="396" customFormat="false" ht="35.05" hidden="false" customHeight="false" outlineLevel="0" collapsed="false">
      <c r="A396" s="7" t="s">
        <v>1320</v>
      </c>
      <c r="B396" s="7" t="s">
        <v>1321</v>
      </c>
      <c r="C396" s="7" t="s">
        <v>17</v>
      </c>
      <c r="D396" s="7" t="s">
        <v>1322</v>
      </c>
      <c r="E396" s="7" t="s">
        <v>1323</v>
      </c>
      <c r="F396" s="7" t="s">
        <v>1190</v>
      </c>
      <c r="G396" s="7" t="s">
        <v>1324</v>
      </c>
      <c r="H396" s="7" t="s">
        <v>1192</v>
      </c>
      <c r="I396" s="7" t="s">
        <v>1193</v>
      </c>
      <c r="J396" s="8" t="str">
        <f aca="false">HYPERLINK("https://www.ekahau.com/","Official site")</f>
        <v>Official site</v>
      </c>
      <c r="K396" s="8" t="str">
        <f aca="false">HYPERLINK("https://www.ekahau.com/","Evidence / lead")</f>
        <v>Evidence / lead</v>
      </c>
      <c r="L396" s="8" t="str">
        <f aca="false">HYPERLINK("https://www.ekahau.com/","Language source")</f>
        <v>Language source</v>
      </c>
    </row>
    <row r="397" customFormat="false" ht="35.05" hidden="false" customHeight="false" outlineLevel="0" collapsed="false">
      <c r="A397" s="7" t="s">
        <v>1320</v>
      </c>
      <c r="B397" s="7" t="s">
        <v>1325</v>
      </c>
      <c r="C397" s="7" t="s">
        <v>17</v>
      </c>
      <c r="D397" s="7" t="s">
        <v>1326</v>
      </c>
      <c r="E397" s="7" t="s">
        <v>1327</v>
      </c>
      <c r="F397" s="7" t="s">
        <v>1190</v>
      </c>
      <c r="G397" s="7" t="s">
        <v>1328</v>
      </c>
      <c r="H397" s="7" t="s">
        <v>1192</v>
      </c>
      <c r="I397" s="7" t="s">
        <v>1193</v>
      </c>
      <c r="J397" s="8" t="str">
        <f aca="false">HYPERLINK("https://www.hamina.com/","Official site")</f>
        <v>Official site</v>
      </c>
      <c r="K397" s="8" t="str">
        <f aca="false">HYPERLINK("https://www.hamina.com/","Evidence / lead")</f>
        <v>Evidence / lead</v>
      </c>
      <c r="L397" s="8" t="str">
        <f aca="false">HYPERLINK("https://www.hamina.com/","Language source")</f>
        <v>Language source</v>
      </c>
    </row>
    <row r="398" customFormat="false" ht="35.05" hidden="false" customHeight="false" outlineLevel="0" collapsed="false">
      <c r="A398" s="7" t="s">
        <v>1320</v>
      </c>
      <c r="B398" s="7" t="s">
        <v>1329</v>
      </c>
      <c r="C398" s="7" t="s">
        <v>17</v>
      </c>
      <c r="D398" s="7" t="s">
        <v>1330</v>
      </c>
      <c r="E398" s="7" t="s">
        <v>19</v>
      </c>
      <c r="F398" s="7" t="s">
        <v>1190</v>
      </c>
      <c r="G398" s="7" t="s">
        <v>1331</v>
      </c>
      <c r="H398" s="7" t="s">
        <v>1192</v>
      </c>
      <c r="I398" s="7" t="s">
        <v>1193</v>
      </c>
      <c r="J398" s="8" t="str">
        <f aca="false">HYPERLINK("https://www.ibwave.com/","Official site")</f>
        <v>Official site</v>
      </c>
      <c r="K398" s="8" t="str">
        <f aca="false">HYPERLINK("https://www.ibwave.com/","Evidence / lead")</f>
        <v>Evidence / lead</v>
      </c>
      <c r="L398" s="8" t="str">
        <f aca="false">HYPERLINK("https://www.ibwave.com/","Language source")</f>
        <v>Language source</v>
      </c>
    </row>
    <row r="399" customFormat="false" ht="35.05" hidden="false" customHeight="false" outlineLevel="0" collapsed="false">
      <c r="A399" s="7" t="s">
        <v>1320</v>
      </c>
      <c r="B399" s="7" t="s">
        <v>1332</v>
      </c>
      <c r="C399" s="7" t="s">
        <v>17</v>
      </c>
      <c r="D399" s="7" t="s">
        <v>1333</v>
      </c>
      <c r="E399" s="7" t="s">
        <v>1334</v>
      </c>
      <c r="F399" s="7" t="s">
        <v>1190</v>
      </c>
      <c r="G399" s="7" t="s">
        <v>1335</v>
      </c>
      <c r="H399" s="7" t="s">
        <v>1192</v>
      </c>
      <c r="I399" s="7" t="s">
        <v>1193</v>
      </c>
      <c r="J399" s="8" t="str">
        <f aca="false">HYPERLINK("https://www.forsk.com/","Official site")</f>
        <v>Official site</v>
      </c>
      <c r="K399" s="8" t="str">
        <f aca="false">HYPERLINK("https://www.forsk.com/","Evidence / lead")</f>
        <v>Evidence / lead</v>
      </c>
      <c r="L399" s="8" t="str">
        <f aca="false">HYPERLINK("https://www.forsk.com/","Language source")</f>
        <v>Language source</v>
      </c>
    </row>
    <row r="400" customFormat="false" ht="35.05" hidden="false" customHeight="false" outlineLevel="0" collapsed="false">
      <c r="A400" s="7" t="s">
        <v>1320</v>
      </c>
      <c r="B400" s="7" t="s">
        <v>1336</v>
      </c>
      <c r="C400" s="7" t="s">
        <v>17</v>
      </c>
      <c r="D400" s="7" t="s">
        <v>1337</v>
      </c>
      <c r="E400" s="7" t="s">
        <v>1338</v>
      </c>
      <c r="F400" s="7" t="s">
        <v>1190</v>
      </c>
      <c r="G400" s="7" t="s">
        <v>1339</v>
      </c>
      <c r="H400" s="7" t="s">
        <v>1192</v>
      </c>
      <c r="I400" s="7" t="s">
        <v>1193</v>
      </c>
      <c r="J400" s="8" t="str">
        <f aca="false">HYPERLINK("https://www.infovista.com/","Official site")</f>
        <v>Official site</v>
      </c>
      <c r="K400" s="8" t="str">
        <f aca="false">HYPERLINK("https://www.infovista.com/","Evidence / lead")</f>
        <v>Evidence / lead</v>
      </c>
      <c r="L400" s="8" t="str">
        <f aca="false">HYPERLINK("https://www.infovista.com/","Language source")</f>
        <v>Language source</v>
      </c>
    </row>
    <row r="401" customFormat="false" ht="35.05" hidden="false" customHeight="false" outlineLevel="0" collapsed="false">
      <c r="A401" s="7" t="s">
        <v>1320</v>
      </c>
      <c r="B401" s="7" t="s">
        <v>1340</v>
      </c>
      <c r="C401" s="7" t="s">
        <v>117</v>
      </c>
      <c r="D401" s="7" t="s">
        <v>1341</v>
      </c>
      <c r="E401" s="7" t="s">
        <v>1342</v>
      </c>
      <c r="F401" s="7" t="s">
        <v>1190</v>
      </c>
      <c r="G401" s="7" t="s">
        <v>1343</v>
      </c>
      <c r="H401" s="7" t="s">
        <v>1192</v>
      </c>
      <c r="I401" s="7" t="s">
        <v>1193</v>
      </c>
      <c r="J401" s="8" t="str">
        <f aca="false">HYPERLINK("https://www.cambiumnetworks.com/products/software/linkplanner/","Official site")</f>
        <v>Official site</v>
      </c>
      <c r="K401" s="8" t="str">
        <f aca="false">HYPERLINK("https://www.cambiumnetworks.com/products/software/linkplanner/","Evidence / lead")</f>
        <v>Evidence / lead</v>
      </c>
      <c r="L401" s="8" t="str">
        <f aca="false">HYPERLINK("https://www.cambiumnetworks.com/products/software/linkplanner/","Language source")</f>
        <v>Language source</v>
      </c>
    </row>
    <row r="402" customFormat="false" ht="35.05" hidden="false" customHeight="false" outlineLevel="0" collapsed="false">
      <c r="A402" s="7" t="s">
        <v>1320</v>
      </c>
      <c r="B402" s="7" t="s">
        <v>1344</v>
      </c>
      <c r="C402" s="7" t="s">
        <v>117</v>
      </c>
      <c r="D402" s="7" t="s">
        <v>1345</v>
      </c>
      <c r="E402" s="7" t="s">
        <v>1346</v>
      </c>
      <c r="F402" s="7" t="s">
        <v>1190</v>
      </c>
      <c r="G402" s="7" t="s">
        <v>1328</v>
      </c>
      <c r="H402" s="7" t="s">
        <v>1192</v>
      </c>
      <c r="I402" s="7" t="s">
        <v>37</v>
      </c>
      <c r="J402" s="8" t="str">
        <f aca="false">HYPERLINK("https://design.uisp.com/","Official site")</f>
        <v>Official site</v>
      </c>
      <c r="K402" s="8" t="str">
        <f aca="false">HYPERLINK("https://design.uisp.com/","Evidence / lead")</f>
        <v>Evidence / lead</v>
      </c>
      <c r="L402" s="8" t="str">
        <f aca="false">HYPERLINK("https://design.uisp.com/","Language source")</f>
        <v>Language source</v>
      </c>
    </row>
    <row r="403" customFormat="false" ht="35.05" hidden="false" customHeight="false" outlineLevel="0" collapsed="false">
      <c r="A403" s="7" t="s">
        <v>1320</v>
      </c>
      <c r="B403" s="7" t="s">
        <v>1347</v>
      </c>
      <c r="C403" s="7" t="s">
        <v>117</v>
      </c>
      <c r="D403" s="7" t="s">
        <v>1348</v>
      </c>
      <c r="E403" s="7" t="s">
        <v>1349</v>
      </c>
      <c r="F403" s="7" t="s">
        <v>1190</v>
      </c>
      <c r="G403" s="7" t="s">
        <v>1343</v>
      </c>
      <c r="H403" s="7" t="s">
        <v>1192</v>
      </c>
      <c r="I403" s="7" t="s">
        <v>1193</v>
      </c>
      <c r="J403" s="8" t="str">
        <f aca="false">HYPERLINK("https://www.ve2dbe.com/english1.html","Official site")</f>
        <v>Official site</v>
      </c>
      <c r="K403" s="8" t="str">
        <f aca="false">HYPERLINK("https://www.ve2dbe.com/english1.html","Evidence / lead")</f>
        <v>Evidence / lead</v>
      </c>
      <c r="L403" s="8" t="str">
        <f aca="false">HYPERLINK("https://www.ve2dbe.com/english1.html","Language source")</f>
        <v>Language source</v>
      </c>
    </row>
    <row r="404" customFormat="false" ht="23.85" hidden="false" customHeight="false" outlineLevel="0" collapsed="false">
      <c r="A404" s="7" t="s">
        <v>1320</v>
      </c>
      <c r="B404" s="7" t="s">
        <v>1350</v>
      </c>
      <c r="C404" s="7" t="s">
        <v>48</v>
      </c>
      <c r="D404" s="7" t="s">
        <v>1351</v>
      </c>
      <c r="E404" s="7" t="s">
        <v>1352</v>
      </c>
      <c r="F404" s="7" t="s">
        <v>1353</v>
      </c>
      <c r="G404" s="7" t="s">
        <v>1354</v>
      </c>
      <c r="H404" s="7" t="s">
        <v>1203</v>
      </c>
      <c r="I404" s="7" t="s">
        <v>1193</v>
      </c>
      <c r="J404" s="8" t="str">
        <f aca="false">HYPERLINK("https://www.qsl.net/kd2bd/splat.html","Official site")</f>
        <v>Official site</v>
      </c>
      <c r="K404" s="8" t="str">
        <f aca="false">HYPERLINK("https://www.qsl.net/kd2bd/splat.html","Evidence / lead")</f>
        <v>Evidence / lead</v>
      </c>
      <c r="L404" s="8" t="str">
        <f aca="false">HYPERLINK("https://www.qsl.net/kd2bd/splat.html","Language source")</f>
        <v>Language source</v>
      </c>
    </row>
    <row r="405" customFormat="false" ht="23.85" hidden="false" customHeight="false" outlineLevel="0" collapsed="false">
      <c r="A405" s="7" t="s">
        <v>1320</v>
      </c>
      <c r="B405" s="7" t="s">
        <v>1355</v>
      </c>
      <c r="C405" s="7" t="s">
        <v>48</v>
      </c>
      <c r="D405" s="7" t="s">
        <v>1356</v>
      </c>
      <c r="E405" s="7" t="s">
        <v>1357</v>
      </c>
      <c r="F405" s="7" t="s">
        <v>653</v>
      </c>
      <c r="G405" s="7" t="s">
        <v>1354</v>
      </c>
      <c r="H405" s="7" t="s">
        <v>1203</v>
      </c>
      <c r="I405" s="7" t="s">
        <v>1193</v>
      </c>
      <c r="J405" s="8" t="str">
        <f aca="false">HYPERLINK("https://github.com/Cloud-RF/Signal-Server","Official site")</f>
        <v>Official site</v>
      </c>
      <c r="K405" s="8" t="str">
        <f aca="false">HYPERLINK("https://github.com/Cloud-RF/Signal-Server","Evidence / lead")</f>
        <v>Evidence / lead</v>
      </c>
      <c r="L405" s="8" t="str">
        <f aca="false">HYPERLINK("https://github.com/Cloud-RF/Signal-Server","Language source")</f>
        <v>Language source</v>
      </c>
    </row>
    <row r="406" customFormat="false" ht="35.05" hidden="false" customHeight="false" outlineLevel="0" collapsed="false">
      <c r="A406" s="7" t="s">
        <v>1358</v>
      </c>
      <c r="B406" s="7" t="s">
        <v>1359</v>
      </c>
      <c r="C406" s="7" t="s">
        <v>17</v>
      </c>
      <c r="D406" s="7" t="s">
        <v>1360</v>
      </c>
      <c r="E406" s="7" t="s">
        <v>1361</v>
      </c>
      <c r="F406" s="7" t="s">
        <v>1190</v>
      </c>
      <c r="G406" s="7" t="s">
        <v>1362</v>
      </c>
      <c r="H406" s="7" t="s">
        <v>1192</v>
      </c>
      <c r="I406" s="7" t="s">
        <v>1193</v>
      </c>
      <c r="J406" s="8" t="str">
        <f aca="false">HYPERLINK("https://www.splunk.com/","Official site")</f>
        <v>Official site</v>
      </c>
      <c r="K406" s="8" t="str">
        <f aca="false">HYPERLINK("https://www.splunk.com/","Evidence / lead")</f>
        <v>Evidence / lead</v>
      </c>
      <c r="L406" s="8" t="str">
        <f aca="false">HYPERLINK("https://www.splunk.com/","Language source")</f>
        <v>Language source</v>
      </c>
    </row>
    <row r="407" customFormat="false" ht="35.05" hidden="false" customHeight="false" outlineLevel="0" collapsed="false">
      <c r="A407" s="7" t="s">
        <v>1358</v>
      </c>
      <c r="B407" s="7" t="s">
        <v>1363</v>
      </c>
      <c r="C407" s="7" t="s">
        <v>17</v>
      </c>
      <c r="D407" s="7" t="s">
        <v>1364</v>
      </c>
      <c r="E407" s="7" t="s">
        <v>1365</v>
      </c>
      <c r="F407" s="7" t="s">
        <v>1190</v>
      </c>
      <c r="G407" s="7" t="s">
        <v>1366</v>
      </c>
      <c r="H407" s="7" t="s">
        <v>1192</v>
      </c>
      <c r="I407" s="7" t="s">
        <v>1193</v>
      </c>
      <c r="J407" s="8" t="str">
        <f aca="false">HYPERLINK("https://learn.microsoft.com/azure/sentinel/","Official site")</f>
        <v>Official site</v>
      </c>
      <c r="K407" s="8" t="str">
        <f aca="false">HYPERLINK("https://learn.microsoft.com/azure/sentinel/","Evidence / lead")</f>
        <v>Evidence / lead</v>
      </c>
      <c r="L407" s="8" t="str">
        <f aca="false">HYPERLINK("https://learn.microsoft.com/azure/sentinel/","Language source")</f>
        <v>Language source</v>
      </c>
    </row>
    <row r="408" customFormat="false" ht="35.05" hidden="false" customHeight="false" outlineLevel="0" collapsed="false">
      <c r="A408" s="7" t="s">
        <v>1358</v>
      </c>
      <c r="B408" s="7" t="s">
        <v>1367</v>
      </c>
      <c r="C408" s="7" t="s">
        <v>17</v>
      </c>
      <c r="D408" s="7" t="s">
        <v>1368</v>
      </c>
      <c r="E408" s="7" t="s">
        <v>1369</v>
      </c>
      <c r="F408" s="7" t="s">
        <v>1190</v>
      </c>
      <c r="G408" s="7" t="s">
        <v>1370</v>
      </c>
      <c r="H408" s="7" t="s">
        <v>1192</v>
      </c>
      <c r="I408" s="7" t="s">
        <v>1193</v>
      </c>
      <c r="J408" s="8" t="str">
        <f aca="false">HYPERLINK("https://www.crowdstrike.com/","Official site")</f>
        <v>Official site</v>
      </c>
      <c r="K408" s="8" t="str">
        <f aca="false">HYPERLINK("https://www.crowdstrike.com/","Evidence / lead")</f>
        <v>Evidence / lead</v>
      </c>
      <c r="L408" s="8" t="str">
        <f aca="false">HYPERLINK("https://www.crowdstrike.com/","Language source")</f>
        <v>Language source</v>
      </c>
    </row>
    <row r="409" customFormat="false" ht="35.05" hidden="false" customHeight="false" outlineLevel="0" collapsed="false">
      <c r="A409" s="7" t="s">
        <v>1358</v>
      </c>
      <c r="B409" s="7" t="s">
        <v>1371</v>
      </c>
      <c r="C409" s="7" t="s">
        <v>17</v>
      </c>
      <c r="D409" s="7" t="s">
        <v>1372</v>
      </c>
      <c r="E409" s="7" t="s">
        <v>1373</v>
      </c>
      <c r="F409" s="7" t="s">
        <v>1190</v>
      </c>
      <c r="G409" s="7" t="s">
        <v>1374</v>
      </c>
      <c r="H409" s="7" t="s">
        <v>1192</v>
      </c>
      <c r="I409" s="7" t="s">
        <v>1193</v>
      </c>
      <c r="J409" s="8" t="str">
        <f aca="false">HYPERLINK("https://www.paloaltonetworks.com/cortex/cortex-xsiam","Official site")</f>
        <v>Official site</v>
      </c>
      <c r="K409" s="8" t="str">
        <f aca="false">HYPERLINK("https://www.paloaltonetworks.com/cortex/cortex-xsiam","Evidence / lead")</f>
        <v>Evidence / lead</v>
      </c>
      <c r="L409" s="8" t="str">
        <f aca="false">HYPERLINK("https://www.paloaltonetworks.com/cortex/cortex-xsiam","Language source")</f>
        <v>Language source</v>
      </c>
    </row>
    <row r="410" customFormat="false" ht="23.85" hidden="false" customHeight="false" outlineLevel="0" collapsed="false">
      <c r="A410" s="7" t="s">
        <v>1358</v>
      </c>
      <c r="B410" s="7" t="s">
        <v>1375</v>
      </c>
      <c r="C410" s="7" t="s">
        <v>232</v>
      </c>
      <c r="D410" s="7" t="s">
        <v>1376</v>
      </c>
      <c r="E410" s="7" t="s">
        <v>1377</v>
      </c>
      <c r="F410" s="7" t="s">
        <v>1378</v>
      </c>
      <c r="G410" s="7" t="s">
        <v>1379</v>
      </c>
      <c r="H410" s="7" t="s">
        <v>1203</v>
      </c>
      <c r="I410" s="7" t="s">
        <v>1193</v>
      </c>
      <c r="J410" s="8" t="str">
        <f aca="false">HYPERLINK("https://www.elastic.co/security","Official site")</f>
        <v>Official site</v>
      </c>
      <c r="K410" s="8" t="str">
        <f aca="false">HYPERLINK("https://github.com/elastic/elasticsearch","Evidence / lead")</f>
        <v>Evidence / lead</v>
      </c>
      <c r="L410" s="8" t="str">
        <f aca="false">HYPERLINK("https://github.com/elastic/elasticsearch","Language source")</f>
        <v>Language source</v>
      </c>
    </row>
    <row r="411" customFormat="false" ht="23.85" hidden="false" customHeight="false" outlineLevel="0" collapsed="false">
      <c r="A411" s="7" t="s">
        <v>1358</v>
      </c>
      <c r="B411" s="7" t="s">
        <v>1380</v>
      </c>
      <c r="C411" s="7" t="s">
        <v>48</v>
      </c>
      <c r="D411" s="7" t="s">
        <v>1381</v>
      </c>
      <c r="E411" s="7" t="s">
        <v>1382</v>
      </c>
      <c r="F411" s="7" t="s">
        <v>1383</v>
      </c>
      <c r="G411" s="7" t="s">
        <v>1384</v>
      </c>
      <c r="H411" s="7" t="s">
        <v>1203</v>
      </c>
      <c r="I411" s="7" t="s">
        <v>1193</v>
      </c>
      <c r="J411" s="8" t="str">
        <f aca="false">HYPERLINK("https://wazuh.com/","Official site")</f>
        <v>Official site</v>
      </c>
      <c r="K411" s="8" t="str">
        <f aca="false">HYPERLINK("https://github.com/wazuh/wazuh","Evidence / lead")</f>
        <v>Evidence / lead</v>
      </c>
      <c r="L411" s="8" t="str">
        <f aca="false">HYPERLINK("https://github.com/wazuh/wazuh","Language source")</f>
        <v>Language source</v>
      </c>
    </row>
    <row r="412" customFormat="false" ht="23.85" hidden="false" customHeight="false" outlineLevel="0" collapsed="false">
      <c r="A412" s="7" t="s">
        <v>1358</v>
      </c>
      <c r="B412" s="7" t="s">
        <v>1385</v>
      </c>
      <c r="C412" s="7" t="s">
        <v>297</v>
      </c>
      <c r="D412" s="7" t="s">
        <v>1386</v>
      </c>
      <c r="E412" s="7" t="s">
        <v>1387</v>
      </c>
      <c r="F412" s="7" t="s">
        <v>1388</v>
      </c>
      <c r="G412" s="7" t="s">
        <v>1389</v>
      </c>
      <c r="H412" s="7" t="s">
        <v>1203</v>
      </c>
      <c r="I412" s="7" t="s">
        <v>1193</v>
      </c>
      <c r="J412" s="8" t="str">
        <f aca="false">HYPERLINK("https://securityonion.net/","Official site")</f>
        <v>Official site</v>
      </c>
      <c r="K412" s="8" t="str">
        <f aca="false">HYPERLINK("https://github.com/Security-Onion-Solutions/securityonion","Evidence / lead")</f>
        <v>Evidence / lead</v>
      </c>
      <c r="L412" s="8" t="str">
        <f aca="false">HYPERLINK("https://github.com/Security-Onion-Solutions/securityonion","Language source")</f>
        <v>Language source</v>
      </c>
    </row>
    <row r="413" customFormat="false" ht="23.85" hidden="false" customHeight="false" outlineLevel="0" collapsed="false">
      <c r="A413" s="7" t="s">
        <v>1358</v>
      </c>
      <c r="B413" s="7" t="s">
        <v>1390</v>
      </c>
      <c r="C413" s="7" t="s">
        <v>849</v>
      </c>
      <c r="D413" s="7" t="s">
        <v>1391</v>
      </c>
      <c r="E413" s="7" t="s">
        <v>1392</v>
      </c>
      <c r="F413" s="7" t="s">
        <v>1315</v>
      </c>
      <c r="G413" s="7" t="s">
        <v>1393</v>
      </c>
      <c r="H413" s="7" t="s">
        <v>1203</v>
      </c>
      <c r="I413" s="7" t="s">
        <v>1193</v>
      </c>
      <c r="J413" s="8" t="str">
        <f aca="false">HYPERLINK("https://graylog.org/","Official site")</f>
        <v>Official site</v>
      </c>
      <c r="K413" s="8" t="str">
        <f aca="false">HYPERLINK("https://github.com/Graylog2/graylog2-server","Evidence / lead")</f>
        <v>Evidence / lead</v>
      </c>
      <c r="L413" s="8" t="str">
        <f aca="false">HYPERLINK("https://github.com/Graylog2/graylog2-server","Language source")</f>
        <v>Language source</v>
      </c>
    </row>
    <row r="414" customFormat="false" ht="23.85" hidden="false" customHeight="false" outlineLevel="0" collapsed="false">
      <c r="A414" s="7" t="s">
        <v>1358</v>
      </c>
      <c r="B414" s="7" t="s">
        <v>1394</v>
      </c>
      <c r="C414" s="7" t="s">
        <v>48</v>
      </c>
      <c r="D414" s="7" t="s">
        <v>1395</v>
      </c>
      <c r="E414" s="7" t="s">
        <v>1396</v>
      </c>
      <c r="F414" s="7" t="s">
        <v>1397</v>
      </c>
      <c r="G414" s="7" t="s">
        <v>1398</v>
      </c>
      <c r="H414" s="7" t="s">
        <v>1203</v>
      </c>
      <c r="I414" s="7" t="s">
        <v>1193</v>
      </c>
      <c r="J414" s="8" t="str">
        <f aca="false">HYPERLINK("https://suricata.io/","Official site")</f>
        <v>Official site</v>
      </c>
      <c r="K414" s="8" t="str">
        <f aca="false">HYPERLINK("https://github.com/OISF/suricata","Evidence / lead")</f>
        <v>Evidence / lead</v>
      </c>
      <c r="L414" s="8" t="str">
        <f aca="false">HYPERLINK("https://github.com/OISF/suricata","Language source")</f>
        <v>Language source</v>
      </c>
    </row>
    <row r="415" customFormat="false" ht="23.85" hidden="false" customHeight="false" outlineLevel="0" collapsed="false">
      <c r="A415" s="7" t="s">
        <v>1358</v>
      </c>
      <c r="B415" s="7" t="s">
        <v>1399</v>
      </c>
      <c r="C415" s="7" t="s">
        <v>48</v>
      </c>
      <c r="D415" s="7" t="s">
        <v>1400</v>
      </c>
      <c r="E415" s="7" t="s">
        <v>1401</v>
      </c>
      <c r="F415" s="7" t="s">
        <v>653</v>
      </c>
      <c r="G415" s="7" t="s">
        <v>1402</v>
      </c>
      <c r="H415" s="7" t="s">
        <v>1203</v>
      </c>
      <c r="I415" s="7" t="s">
        <v>1193</v>
      </c>
      <c r="J415" s="8" t="str">
        <f aca="false">HYPERLINK("https://zeek.org/","Official site")</f>
        <v>Official site</v>
      </c>
      <c r="K415" s="8" t="str">
        <f aca="false">HYPERLINK("https://github.com/zeek/zeek","Evidence / lead")</f>
        <v>Evidence / lead</v>
      </c>
      <c r="L415" s="8" t="str">
        <f aca="false">HYPERLINK("https://github.com/zeek/zeek","Language source")</f>
        <v>Language source</v>
      </c>
    </row>
    <row r="416" customFormat="false" ht="23.85" hidden="false" customHeight="false" outlineLevel="0" collapsed="false">
      <c r="A416" s="7" t="s">
        <v>1403</v>
      </c>
      <c r="B416" s="7" t="s">
        <v>1404</v>
      </c>
      <c r="C416" s="7" t="s">
        <v>48</v>
      </c>
      <c r="D416" s="7" t="s">
        <v>1405</v>
      </c>
      <c r="E416" s="7" t="s">
        <v>1406</v>
      </c>
      <c r="F416" s="7" t="s">
        <v>1258</v>
      </c>
      <c r="G416" s="7" t="s">
        <v>1407</v>
      </c>
      <c r="H416" s="7" t="s">
        <v>1203</v>
      </c>
      <c r="I416" s="7" t="s">
        <v>1193</v>
      </c>
      <c r="J416" s="8" t="str">
        <f aca="false">HYPERLINK("https://www.wireshark.org/","Official site")</f>
        <v>Official site</v>
      </c>
      <c r="K416" s="8" t="str">
        <f aca="false">HYPERLINK("https://gitlab.com/wireshark/wireshark","Evidence / lead")</f>
        <v>Evidence / lead</v>
      </c>
      <c r="L416" s="8" t="str">
        <f aca="false">HYPERLINK("https://gitlab.com/wireshark/wireshark","Language source")</f>
        <v>Language source</v>
      </c>
    </row>
    <row r="417" customFormat="false" ht="23.85" hidden="false" customHeight="false" outlineLevel="0" collapsed="false">
      <c r="A417" s="7" t="s">
        <v>1403</v>
      </c>
      <c r="B417" s="7" t="s">
        <v>1408</v>
      </c>
      <c r="C417" s="7" t="s">
        <v>48</v>
      </c>
      <c r="D417" s="7" t="s">
        <v>1409</v>
      </c>
      <c r="E417" s="7" t="s">
        <v>1410</v>
      </c>
      <c r="F417" s="7" t="s">
        <v>1258</v>
      </c>
      <c r="G417" s="7" t="s">
        <v>1411</v>
      </c>
      <c r="H417" s="7" t="s">
        <v>1203</v>
      </c>
      <c r="I417" s="7" t="s">
        <v>1193</v>
      </c>
      <c r="J417" s="8" t="str">
        <f aca="false">HYPERLINK("https://www.tcpdump.org/","Official site")</f>
        <v>Official site</v>
      </c>
      <c r="K417" s="8" t="str">
        <f aca="false">HYPERLINK("https://github.com/the-tcpdump-group/tcpdump","Evidence / lead")</f>
        <v>Evidence / lead</v>
      </c>
      <c r="L417" s="8" t="str">
        <f aca="false">HYPERLINK("https://github.com/the-tcpdump-group/tcpdump","Language source")</f>
        <v>Language source</v>
      </c>
    </row>
    <row r="418" customFormat="false" ht="23.85" hidden="false" customHeight="false" outlineLevel="0" collapsed="false">
      <c r="A418" s="7" t="s">
        <v>1403</v>
      </c>
      <c r="B418" s="7" t="s">
        <v>1412</v>
      </c>
      <c r="C418" s="7" t="s">
        <v>849</v>
      </c>
      <c r="D418" s="7" t="s">
        <v>1413</v>
      </c>
      <c r="E418" s="7" t="s">
        <v>1414</v>
      </c>
      <c r="F418" s="7" t="s">
        <v>1353</v>
      </c>
      <c r="G418" s="7" t="s">
        <v>1415</v>
      </c>
      <c r="H418" s="7" t="s">
        <v>1203</v>
      </c>
      <c r="I418" s="7" t="s">
        <v>1193</v>
      </c>
      <c r="J418" s="8" t="str">
        <f aca="false">HYPERLINK("https://nmap.org/","Official site")</f>
        <v>Official site</v>
      </c>
      <c r="K418" s="8" t="str">
        <f aca="false">HYPERLINK("https://github.com/nmap/nmap","Evidence / lead")</f>
        <v>Evidence / lead</v>
      </c>
      <c r="L418" s="8" t="str">
        <f aca="false">HYPERLINK("https://github.com/nmap/nmap","Language source")</f>
        <v>Language source</v>
      </c>
    </row>
    <row r="419" customFormat="false" ht="35.05" hidden="false" customHeight="false" outlineLevel="0" collapsed="false">
      <c r="A419" s="7" t="s">
        <v>1403</v>
      </c>
      <c r="B419" s="7" t="s">
        <v>1416</v>
      </c>
      <c r="C419" s="7" t="s">
        <v>17</v>
      </c>
      <c r="D419" s="7" t="s">
        <v>1417</v>
      </c>
      <c r="E419" s="7" t="s">
        <v>1418</v>
      </c>
      <c r="F419" s="7" t="s">
        <v>1190</v>
      </c>
      <c r="G419" s="7" t="s">
        <v>1419</v>
      </c>
      <c r="H419" s="7" t="s">
        <v>1192</v>
      </c>
      <c r="I419" s="7" t="s">
        <v>1193</v>
      </c>
      <c r="J419" s="8" t="str">
        <f aca="false">HYPERLINK("https://www.tenable.com/products/nessus","Official site")</f>
        <v>Official site</v>
      </c>
      <c r="K419" s="8" t="str">
        <f aca="false">HYPERLINK("https://www.tenable.com/products/nessus","Evidence / lead")</f>
        <v>Evidence / lead</v>
      </c>
      <c r="L419" s="8" t="str">
        <f aca="false">HYPERLINK("https://www.tenable.com/products/nessus","Language source")</f>
        <v>Language source</v>
      </c>
    </row>
    <row r="420" customFormat="false" ht="35.05" hidden="false" customHeight="false" outlineLevel="0" collapsed="false">
      <c r="A420" s="7" t="s">
        <v>1403</v>
      </c>
      <c r="B420" s="7" t="s">
        <v>1420</v>
      </c>
      <c r="C420" s="7" t="s">
        <v>17</v>
      </c>
      <c r="D420" s="7" t="s">
        <v>1421</v>
      </c>
      <c r="E420" s="7" t="s">
        <v>1422</v>
      </c>
      <c r="F420" s="7" t="s">
        <v>1190</v>
      </c>
      <c r="G420" s="7" t="s">
        <v>1423</v>
      </c>
      <c r="H420" s="7" t="s">
        <v>1192</v>
      </c>
      <c r="I420" s="7" t="s">
        <v>1193</v>
      </c>
      <c r="J420" s="8" t="str">
        <f aca="false">HYPERLINK("https://www.qualys.com/","Official site")</f>
        <v>Official site</v>
      </c>
      <c r="K420" s="8" t="str">
        <f aca="false">HYPERLINK("https://www.qualys.com/","Evidence / lead")</f>
        <v>Evidence / lead</v>
      </c>
      <c r="L420" s="8" t="str">
        <f aca="false">HYPERLINK("https://www.qualys.com/","Language source")</f>
        <v>Language source</v>
      </c>
    </row>
    <row r="421" customFormat="false" ht="35.05" hidden="false" customHeight="false" outlineLevel="0" collapsed="false">
      <c r="A421" s="7" t="s">
        <v>1403</v>
      </c>
      <c r="B421" s="7" t="s">
        <v>1424</v>
      </c>
      <c r="C421" s="7" t="s">
        <v>17</v>
      </c>
      <c r="D421" s="7" t="s">
        <v>1425</v>
      </c>
      <c r="E421" s="7" t="s">
        <v>1426</v>
      </c>
      <c r="F421" s="7" t="s">
        <v>1190</v>
      </c>
      <c r="G421" s="7" t="s">
        <v>1423</v>
      </c>
      <c r="H421" s="7" t="s">
        <v>1192</v>
      </c>
      <c r="I421" s="7" t="s">
        <v>1193</v>
      </c>
      <c r="J421" s="8" t="str">
        <f aca="false">HYPERLINK("https://www.rapid7.com/products/insightvm/","Official site")</f>
        <v>Official site</v>
      </c>
      <c r="K421" s="8" t="str">
        <f aca="false">HYPERLINK("https://www.rapid7.com/products/insightvm/","Evidence / lead")</f>
        <v>Evidence / lead</v>
      </c>
      <c r="L421" s="8" t="str">
        <f aca="false">HYPERLINK("https://www.rapid7.com/products/insightvm/","Language source")</f>
        <v>Language source</v>
      </c>
    </row>
    <row r="422" customFormat="false" ht="35.05" hidden="false" customHeight="false" outlineLevel="0" collapsed="false">
      <c r="A422" s="7" t="s">
        <v>1403</v>
      </c>
      <c r="B422" s="7" t="s">
        <v>1427</v>
      </c>
      <c r="C422" s="7" t="s">
        <v>17</v>
      </c>
      <c r="D422" s="7" t="s">
        <v>1428</v>
      </c>
      <c r="E422" s="7" t="s">
        <v>1429</v>
      </c>
      <c r="F422" s="7" t="s">
        <v>1190</v>
      </c>
      <c r="G422" s="7" t="s">
        <v>1430</v>
      </c>
      <c r="H422" s="7" t="s">
        <v>1192</v>
      </c>
      <c r="I422" s="7" t="s">
        <v>1193</v>
      </c>
      <c r="J422" s="8" t="str">
        <f aca="false">HYPERLINK("https://portswigger.net/burp","Official site")</f>
        <v>Official site</v>
      </c>
      <c r="K422" s="8" t="str">
        <f aca="false">HYPERLINK("https://portswigger.net/burp","Evidence / lead")</f>
        <v>Evidence / lead</v>
      </c>
      <c r="L422" s="8" t="str">
        <f aca="false">HYPERLINK("https://portswigger.net/burp","Language source")</f>
        <v>Language source</v>
      </c>
    </row>
    <row r="423" customFormat="false" ht="23.85" hidden="false" customHeight="false" outlineLevel="0" collapsed="false">
      <c r="A423" s="7" t="s">
        <v>1403</v>
      </c>
      <c r="B423" s="7" t="s">
        <v>1431</v>
      </c>
      <c r="C423" s="7" t="s">
        <v>232</v>
      </c>
      <c r="D423" s="7" t="s">
        <v>1432</v>
      </c>
      <c r="E423" s="7" t="s">
        <v>1433</v>
      </c>
      <c r="F423" s="7" t="s">
        <v>1434</v>
      </c>
      <c r="G423" s="7" t="s">
        <v>1435</v>
      </c>
      <c r="H423" s="7" t="s">
        <v>1203</v>
      </c>
      <c r="I423" s="7" t="s">
        <v>1193</v>
      </c>
      <c r="J423" s="8" t="str">
        <f aca="false">HYPERLINK("https://www.metasploit.com/","Official site")</f>
        <v>Official site</v>
      </c>
      <c r="K423" s="8" t="str">
        <f aca="false">HYPERLINK("https://github.com/rapid7/metasploit-framework","Evidence / lead")</f>
        <v>Evidence / lead</v>
      </c>
      <c r="L423" s="8" t="str">
        <f aca="false">HYPERLINK("https://github.com/rapid7/metasploit-framework","Language source")</f>
        <v>Language source</v>
      </c>
    </row>
    <row r="424" customFormat="false" ht="23.85" hidden="false" customHeight="false" outlineLevel="0" collapsed="false">
      <c r="A424" s="7" t="s">
        <v>1403</v>
      </c>
      <c r="B424" s="7" t="s">
        <v>1436</v>
      </c>
      <c r="C424" s="7" t="s">
        <v>232</v>
      </c>
      <c r="D424" s="7" t="s">
        <v>1437</v>
      </c>
      <c r="E424" s="7" t="s">
        <v>1438</v>
      </c>
      <c r="F424" s="7" t="s">
        <v>1439</v>
      </c>
      <c r="G424" s="7" t="s">
        <v>1419</v>
      </c>
      <c r="H424" s="7" t="s">
        <v>1203</v>
      </c>
      <c r="I424" s="7" t="s">
        <v>1193</v>
      </c>
      <c r="J424" s="8" t="str">
        <f aca="false">HYPERLINK("https://www.greenbone.net/","Official site")</f>
        <v>Official site</v>
      </c>
      <c r="K424" s="8" t="str">
        <f aca="false">HYPERLINK("https://github.com/greenbone/openvas-scanner","Evidence / lead")</f>
        <v>Evidence / lead</v>
      </c>
      <c r="L424" s="8" t="str">
        <f aca="false">HYPERLINK("https://github.com/greenbone/openvas-scanner","Language source")</f>
        <v>Language source</v>
      </c>
    </row>
    <row r="425" customFormat="false" ht="23.85" hidden="false" customHeight="false" outlineLevel="0" collapsed="false">
      <c r="A425" s="7" t="s">
        <v>1403</v>
      </c>
      <c r="B425" s="7" t="s">
        <v>1440</v>
      </c>
      <c r="C425" s="7" t="s">
        <v>48</v>
      </c>
      <c r="D425" s="7" t="s">
        <v>1441</v>
      </c>
      <c r="E425" s="7" t="s">
        <v>1442</v>
      </c>
      <c r="F425" s="7" t="s">
        <v>1315</v>
      </c>
      <c r="G425" s="7" t="s">
        <v>1443</v>
      </c>
      <c r="H425" s="7" t="s">
        <v>1203</v>
      </c>
      <c r="I425" s="7" t="s">
        <v>1193</v>
      </c>
      <c r="J425" s="8" t="str">
        <f aca="false">HYPERLINK("https://www.zaproxy.org/","Official site")</f>
        <v>Official site</v>
      </c>
      <c r="K425" s="8" t="str">
        <f aca="false">HYPERLINK("https://github.com/zaproxy/zaproxy","Evidence / lead")</f>
        <v>Evidence / lead</v>
      </c>
      <c r="L425" s="8" t="str">
        <f aca="false">HYPERLINK("https://github.com/zaproxy/zaproxy","Language source")</f>
        <v>Language source</v>
      </c>
    </row>
    <row r="426" customFormat="false" ht="35.05" hidden="false" customHeight="false" outlineLevel="0" collapsed="false">
      <c r="A426" s="7" t="s">
        <v>1444</v>
      </c>
      <c r="B426" s="7" t="s">
        <v>1445</v>
      </c>
      <c r="C426" s="7" t="s">
        <v>17</v>
      </c>
      <c r="D426" s="7" t="s">
        <v>1446</v>
      </c>
      <c r="E426" s="7" t="s">
        <v>1447</v>
      </c>
      <c r="F426" s="7" t="s">
        <v>1190</v>
      </c>
      <c r="G426" s="7" t="s">
        <v>1423</v>
      </c>
      <c r="H426" s="7" t="s">
        <v>1192</v>
      </c>
      <c r="I426" s="7" t="s">
        <v>1193</v>
      </c>
      <c r="J426" s="8" t="str">
        <f aca="false">HYPERLINK("https://claroty.com/","Official site")</f>
        <v>Official site</v>
      </c>
      <c r="K426" s="8" t="str">
        <f aca="false">HYPERLINK("https://claroty.com/","Evidence / lead")</f>
        <v>Evidence / lead</v>
      </c>
      <c r="L426" s="8" t="str">
        <f aca="false">HYPERLINK("https://claroty.com/","Language source")</f>
        <v>Language source</v>
      </c>
    </row>
    <row r="427" customFormat="false" ht="35.05" hidden="false" customHeight="false" outlineLevel="0" collapsed="false">
      <c r="A427" s="7" t="s">
        <v>1444</v>
      </c>
      <c r="B427" s="7" t="s">
        <v>1448</v>
      </c>
      <c r="C427" s="7" t="s">
        <v>17</v>
      </c>
      <c r="D427" s="7" t="s">
        <v>1449</v>
      </c>
      <c r="E427" s="7" t="s">
        <v>1450</v>
      </c>
      <c r="F427" s="7" t="s">
        <v>1190</v>
      </c>
      <c r="G427" s="7" t="s">
        <v>1423</v>
      </c>
      <c r="H427" s="7" t="s">
        <v>1192</v>
      </c>
      <c r="I427" s="7" t="s">
        <v>1193</v>
      </c>
      <c r="J427" s="8" t="str">
        <f aca="false">HYPERLINK("https://www.nozominetworks.com/","Official site")</f>
        <v>Official site</v>
      </c>
      <c r="K427" s="8" t="str">
        <f aca="false">HYPERLINK("https://www.nozominetworks.com/","Evidence / lead")</f>
        <v>Evidence / lead</v>
      </c>
      <c r="L427" s="8" t="str">
        <f aca="false">HYPERLINK("https://www.nozominetworks.com/","Language source")</f>
        <v>Language source</v>
      </c>
    </row>
    <row r="428" customFormat="false" ht="35.05" hidden="false" customHeight="false" outlineLevel="0" collapsed="false">
      <c r="A428" s="7" t="s">
        <v>1444</v>
      </c>
      <c r="B428" s="7" t="s">
        <v>1451</v>
      </c>
      <c r="C428" s="7" t="s">
        <v>17</v>
      </c>
      <c r="D428" s="7" t="s">
        <v>1452</v>
      </c>
      <c r="E428" s="7" t="s">
        <v>1453</v>
      </c>
      <c r="F428" s="7" t="s">
        <v>1190</v>
      </c>
      <c r="G428" s="7" t="s">
        <v>1423</v>
      </c>
      <c r="H428" s="7" t="s">
        <v>1192</v>
      </c>
      <c r="I428" s="7" t="s">
        <v>1193</v>
      </c>
      <c r="J428" s="8" t="str">
        <f aca="false">HYPERLINK("https://www.dragos.com/","Official site")</f>
        <v>Official site</v>
      </c>
      <c r="K428" s="8" t="str">
        <f aca="false">HYPERLINK("https://www.dragos.com/","Evidence / lead")</f>
        <v>Evidence / lead</v>
      </c>
      <c r="L428" s="8" t="str">
        <f aca="false">HYPERLINK("https://www.dragos.com/","Language source")</f>
        <v>Language source</v>
      </c>
    </row>
    <row r="429" customFormat="false" ht="35.05" hidden="false" customHeight="false" outlineLevel="0" collapsed="false">
      <c r="A429" s="7" t="s">
        <v>1444</v>
      </c>
      <c r="B429" s="7" t="s">
        <v>1454</v>
      </c>
      <c r="C429" s="7" t="s">
        <v>17</v>
      </c>
      <c r="D429" s="7" t="s">
        <v>1455</v>
      </c>
      <c r="E429" s="7" t="s">
        <v>1456</v>
      </c>
      <c r="F429" s="7" t="s">
        <v>1190</v>
      </c>
      <c r="G429" s="7" t="s">
        <v>1423</v>
      </c>
      <c r="H429" s="7" t="s">
        <v>1192</v>
      </c>
      <c r="I429" s="7" t="s">
        <v>1193</v>
      </c>
      <c r="J429" s="8" t="str">
        <f aca="false">HYPERLINK("https://www.tenable.com/products/tenable-ot","Official site")</f>
        <v>Official site</v>
      </c>
      <c r="K429" s="8" t="str">
        <f aca="false">HYPERLINK("https://www.tenable.com/products/tenable-ot","Evidence / lead")</f>
        <v>Evidence / lead</v>
      </c>
      <c r="L429" s="8" t="str">
        <f aca="false">HYPERLINK("https://www.tenable.com/products/tenable-ot","Language source")</f>
        <v>Language source</v>
      </c>
    </row>
    <row r="430" customFormat="false" ht="35.05" hidden="false" customHeight="false" outlineLevel="0" collapsed="false">
      <c r="A430" s="7" t="s">
        <v>1444</v>
      </c>
      <c r="B430" s="7" t="s">
        <v>1457</v>
      </c>
      <c r="C430" s="7" t="s">
        <v>17</v>
      </c>
      <c r="D430" s="7" t="s">
        <v>1458</v>
      </c>
      <c r="E430" s="7" t="s">
        <v>1459</v>
      </c>
      <c r="F430" s="7" t="s">
        <v>1190</v>
      </c>
      <c r="G430" s="7" t="s">
        <v>1460</v>
      </c>
      <c r="H430" s="7" t="s">
        <v>1192</v>
      </c>
      <c r="I430" s="7" t="s">
        <v>1193</v>
      </c>
      <c r="J430" s="8" t="str">
        <f aca="false">HYPERLINK("https://learn.microsoft.com/azure/defender-for-iot/","Official site")</f>
        <v>Official site</v>
      </c>
      <c r="K430" s="8" t="str">
        <f aca="false">HYPERLINK("https://learn.microsoft.com/azure/defender-for-iot/","Evidence / lead")</f>
        <v>Evidence / lead</v>
      </c>
      <c r="L430" s="8" t="str">
        <f aca="false">HYPERLINK("https://learn.microsoft.com/azure/defender-for-iot/","Language source")</f>
        <v>Language source</v>
      </c>
    </row>
    <row r="431" customFormat="false" ht="35.05" hidden="false" customHeight="false" outlineLevel="0" collapsed="false">
      <c r="A431" s="7" t="s">
        <v>1444</v>
      </c>
      <c r="B431" s="7" t="s">
        <v>1461</v>
      </c>
      <c r="C431" s="7" t="s">
        <v>17</v>
      </c>
      <c r="D431" s="7" t="s">
        <v>1462</v>
      </c>
      <c r="E431" s="7" t="s">
        <v>1463</v>
      </c>
      <c r="F431" s="7" t="s">
        <v>1190</v>
      </c>
      <c r="G431" s="7" t="s">
        <v>1464</v>
      </c>
      <c r="H431" s="7" t="s">
        <v>1192</v>
      </c>
      <c r="I431" s="7" t="s">
        <v>30</v>
      </c>
      <c r="J431" s="8" t="str">
        <f aca="false">HYPERLINK("https://www.siemens.com/","Official site")</f>
        <v>Official site</v>
      </c>
      <c r="K431" s="8" t="str">
        <f aca="false">HYPERLINK("https://www.siemens.com/","Evidence / lead")</f>
        <v>Evidence / lead</v>
      </c>
      <c r="L431" s="8" t="str">
        <f aca="false">HYPERLINK("https://www.siemens.com/","Language source")</f>
        <v>Language source</v>
      </c>
    </row>
    <row r="432" customFormat="false" ht="35.05" hidden="false" customHeight="false" outlineLevel="0" collapsed="false">
      <c r="A432" s="7" t="s">
        <v>1444</v>
      </c>
      <c r="B432" s="7" t="s">
        <v>1465</v>
      </c>
      <c r="C432" s="7" t="s">
        <v>17</v>
      </c>
      <c r="D432" s="7" t="s">
        <v>1466</v>
      </c>
      <c r="E432" s="7" t="s">
        <v>1467</v>
      </c>
      <c r="F432" s="7" t="s">
        <v>1190</v>
      </c>
      <c r="G432" s="7" t="s">
        <v>1468</v>
      </c>
      <c r="H432" s="7" t="s">
        <v>1192</v>
      </c>
      <c r="I432" s="7" t="s">
        <v>30</v>
      </c>
      <c r="J432" s="8" t="str">
        <f aca="false">HYPERLINK("https://www.moxa.com/","Official site")</f>
        <v>Official site</v>
      </c>
      <c r="K432" s="8" t="str">
        <f aca="false">HYPERLINK("https://www.moxa.com/","Evidence / lead")</f>
        <v>Evidence / lead</v>
      </c>
      <c r="L432" s="8" t="str">
        <f aca="false">HYPERLINK("https://www.moxa.com/","Language source")</f>
        <v>Language source</v>
      </c>
    </row>
    <row r="433" customFormat="false" ht="35.05" hidden="false" customHeight="false" outlineLevel="0" collapsed="false">
      <c r="A433" s="7" t="s">
        <v>1444</v>
      </c>
      <c r="B433" s="7" t="s">
        <v>1469</v>
      </c>
      <c r="C433" s="7" t="s">
        <v>17</v>
      </c>
      <c r="D433" s="7" t="s">
        <v>1470</v>
      </c>
      <c r="E433" s="7" t="s">
        <v>1471</v>
      </c>
      <c r="F433" s="7" t="s">
        <v>1190</v>
      </c>
      <c r="G433" s="7" t="s">
        <v>1464</v>
      </c>
      <c r="H433" s="7" t="s">
        <v>1192</v>
      </c>
      <c r="I433" s="7" t="s">
        <v>30</v>
      </c>
      <c r="J433" s="8" t="str">
        <f aca="false">HYPERLINK("https://www.belden.com/","Official site")</f>
        <v>Official site</v>
      </c>
      <c r="K433" s="8" t="str">
        <f aca="false">HYPERLINK("https://www.belden.com/","Evidence / lead")</f>
        <v>Evidence / lead</v>
      </c>
      <c r="L433" s="8" t="str">
        <f aca="false">HYPERLINK("https://www.belden.com/","Language source")</f>
        <v>Language source</v>
      </c>
    </row>
    <row r="434" customFormat="false" ht="23.85" hidden="false" customHeight="false" outlineLevel="0" collapsed="false">
      <c r="A434" s="7" t="s">
        <v>1444</v>
      </c>
      <c r="B434" s="7" t="s">
        <v>1472</v>
      </c>
      <c r="C434" s="7" t="s">
        <v>48</v>
      </c>
      <c r="D434" s="7" t="s">
        <v>1473</v>
      </c>
      <c r="E434" s="7" t="s">
        <v>1474</v>
      </c>
      <c r="F434" s="7" t="s">
        <v>1475</v>
      </c>
      <c r="G434" s="7" t="s">
        <v>1476</v>
      </c>
      <c r="H434" s="7" t="s">
        <v>1203</v>
      </c>
      <c r="I434" s="7" t="s">
        <v>1193</v>
      </c>
      <c r="J434" s="8" t="str">
        <f aca="false">HYPERLINK("https://github.com/cisagov/Malcolm","Official site")</f>
        <v>Official site</v>
      </c>
      <c r="K434" s="8" t="str">
        <f aca="false">HYPERLINK("https://github.com/cisagov/Malcolm","Evidence / lead")</f>
        <v>Evidence / lead</v>
      </c>
      <c r="L434" s="8" t="str">
        <f aca="false">HYPERLINK("https://github.com/cisagov/Malcolm","Language source")</f>
        <v>Language source</v>
      </c>
    </row>
    <row r="435" customFormat="false" ht="23.85" hidden="false" customHeight="false" outlineLevel="0" collapsed="false">
      <c r="A435" s="7" t="s">
        <v>1444</v>
      </c>
      <c r="B435" s="7" t="s">
        <v>1477</v>
      </c>
      <c r="C435" s="7" t="s">
        <v>48</v>
      </c>
      <c r="D435" s="7" t="s">
        <v>1478</v>
      </c>
      <c r="E435" s="7" t="s">
        <v>1479</v>
      </c>
      <c r="F435" s="7" t="s">
        <v>1480</v>
      </c>
      <c r="G435" s="7" t="s">
        <v>1481</v>
      </c>
      <c r="H435" s="7" t="s">
        <v>1203</v>
      </c>
      <c r="I435" s="7" t="s">
        <v>1193</v>
      </c>
      <c r="J435" s="8" t="str">
        <f aca="false">HYPERLINK("https://github.com/cisagov/ICSNPP","Official site")</f>
        <v>Official site</v>
      </c>
      <c r="K435" s="8" t="str">
        <f aca="false">HYPERLINK("https://github.com/cisagov/ICSNPP","Evidence / lead")</f>
        <v>Evidence / lead</v>
      </c>
      <c r="L435" s="8" t="str">
        <f aca="false">HYPERLINK("https://github.com/cisagov/ICSNPP","Language source")</f>
        <v>Language source</v>
      </c>
    </row>
    <row r="436" customFormat="false" ht="35.05" hidden="false" customHeight="false" outlineLevel="0" collapsed="false">
      <c r="A436" s="7" t="s">
        <v>1482</v>
      </c>
      <c r="B436" s="7" t="s">
        <v>1483</v>
      </c>
      <c r="C436" s="7" t="s">
        <v>17</v>
      </c>
      <c r="D436" s="7" t="s">
        <v>1484</v>
      </c>
      <c r="E436" s="7" t="s">
        <v>1485</v>
      </c>
      <c r="F436" s="7" t="s">
        <v>1190</v>
      </c>
      <c r="G436" s="7" t="s">
        <v>1486</v>
      </c>
      <c r="H436" s="7" t="s">
        <v>1192</v>
      </c>
      <c r="I436" s="7" t="s">
        <v>1193</v>
      </c>
      <c r="J436" s="8" t="str">
        <f aca="false">HYPERLINK("https://learn.microsoft.com/mem/intune/","Official site")</f>
        <v>Official site</v>
      </c>
      <c r="K436" s="8" t="str">
        <f aca="false">HYPERLINK("https://learn.microsoft.com/mem/intune/","Evidence / lead")</f>
        <v>Evidence / lead</v>
      </c>
      <c r="L436" s="8" t="str">
        <f aca="false">HYPERLINK("https://learn.microsoft.com/mem/intune/","Language source")</f>
        <v>Language source</v>
      </c>
    </row>
    <row r="437" customFormat="false" ht="35.05" hidden="false" customHeight="false" outlineLevel="0" collapsed="false">
      <c r="A437" s="7" t="s">
        <v>1482</v>
      </c>
      <c r="B437" s="7" t="s">
        <v>1487</v>
      </c>
      <c r="C437" s="7" t="s">
        <v>17</v>
      </c>
      <c r="D437" s="7" t="s">
        <v>1488</v>
      </c>
      <c r="E437" s="7" t="s">
        <v>1489</v>
      </c>
      <c r="F437" s="7" t="s">
        <v>1190</v>
      </c>
      <c r="G437" s="7" t="s">
        <v>1490</v>
      </c>
      <c r="H437" s="7" t="s">
        <v>1192</v>
      </c>
      <c r="I437" s="7" t="s">
        <v>1193</v>
      </c>
      <c r="J437" s="8" t="str">
        <f aca="false">HYPERLINK("https://learn.microsoft.com/mem/configmgr/","Official site")</f>
        <v>Official site</v>
      </c>
      <c r="K437" s="8" t="str">
        <f aca="false">HYPERLINK("https://learn.microsoft.com/mem/configmgr/","Evidence / lead")</f>
        <v>Evidence / lead</v>
      </c>
      <c r="L437" s="8" t="str">
        <f aca="false">HYPERLINK("https://learn.microsoft.com/mem/configmgr/","Language source")</f>
        <v>Language source</v>
      </c>
    </row>
    <row r="438" customFormat="false" ht="35.05" hidden="false" customHeight="false" outlineLevel="0" collapsed="false">
      <c r="A438" s="7" t="s">
        <v>1482</v>
      </c>
      <c r="B438" s="7" t="s">
        <v>1491</v>
      </c>
      <c r="C438" s="7" t="s">
        <v>17</v>
      </c>
      <c r="D438" s="7" t="s">
        <v>1492</v>
      </c>
      <c r="E438" s="7" t="s">
        <v>1493</v>
      </c>
      <c r="F438" s="7" t="s">
        <v>1190</v>
      </c>
      <c r="G438" s="7" t="s">
        <v>1494</v>
      </c>
      <c r="H438" s="7" t="s">
        <v>1192</v>
      </c>
      <c r="I438" s="7" t="s">
        <v>1193</v>
      </c>
      <c r="J438" s="8" t="str">
        <f aca="false">HYPERLINK("https://www.jamf.com/products/jamf-pro/","Official site")</f>
        <v>Official site</v>
      </c>
      <c r="K438" s="8" t="str">
        <f aca="false">HYPERLINK("https://www.jamf.com/products/jamf-pro/","Evidence / lead")</f>
        <v>Evidence / lead</v>
      </c>
      <c r="L438" s="8" t="str">
        <f aca="false">HYPERLINK("https://www.jamf.com/products/jamf-pro/","Language source")</f>
        <v>Language source</v>
      </c>
    </row>
    <row r="439" customFormat="false" ht="35.05" hidden="false" customHeight="false" outlineLevel="0" collapsed="false">
      <c r="A439" s="7" t="s">
        <v>1482</v>
      </c>
      <c r="B439" s="7" t="s">
        <v>1495</v>
      </c>
      <c r="C439" s="7" t="s">
        <v>17</v>
      </c>
      <c r="D439" s="7" t="s">
        <v>1496</v>
      </c>
      <c r="E439" s="7" t="s">
        <v>1497</v>
      </c>
      <c r="F439" s="7" t="s">
        <v>1190</v>
      </c>
      <c r="G439" s="7" t="s">
        <v>1494</v>
      </c>
      <c r="H439" s="7" t="s">
        <v>1192</v>
      </c>
      <c r="I439" s="7" t="s">
        <v>1193</v>
      </c>
      <c r="J439" s="8" t="str">
        <f aca="false">HYPERLINK("https://www.manageengine.com/products/desktop-central/","Official site")</f>
        <v>Official site</v>
      </c>
      <c r="K439" s="8" t="str">
        <f aca="false">HYPERLINK("https://www.manageengine.com/products/desktop-central/","Evidence / lead")</f>
        <v>Evidence / lead</v>
      </c>
      <c r="L439" s="8" t="str">
        <f aca="false">HYPERLINK("https://www.manageengine.com/products/desktop-central/","Language source")</f>
        <v>Language source</v>
      </c>
    </row>
    <row r="440" customFormat="false" ht="35.05" hidden="false" customHeight="false" outlineLevel="0" collapsed="false">
      <c r="A440" s="7" t="s">
        <v>1482</v>
      </c>
      <c r="B440" s="7" t="s">
        <v>1498</v>
      </c>
      <c r="C440" s="7" t="s">
        <v>17</v>
      </c>
      <c r="D440" s="7" t="s">
        <v>1499</v>
      </c>
      <c r="E440" s="7" t="s">
        <v>1500</v>
      </c>
      <c r="F440" s="7" t="s">
        <v>1190</v>
      </c>
      <c r="G440" s="7" t="s">
        <v>1494</v>
      </c>
      <c r="H440" s="7" t="s">
        <v>1192</v>
      </c>
      <c r="I440" s="7" t="s">
        <v>1193</v>
      </c>
      <c r="J440" s="8" t="str">
        <f aca="false">HYPERLINK("https://www.ninjaone.com/","Official site")</f>
        <v>Official site</v>
      </c>
      <c r="K440" s="8" t="str">
        <f aca="false">HYPERLINK("https://www.ninjaone.com/","Evidence / lead")</f>
        <v>Evidence / lead</v>
      </c>
      <c r="L440" s="8" t="str">
        <f aca="false">HYPERLINK("https://www.ninjaone.com/","Language source")</f>
        <v>Language source</v>
      </c>
    </row>
    <row r="441" customFormat="false" ht="23.85" hidden="false" customHeight="false" outlineLevel="0" collapsed="false">
      <c r="A441" s="7" t="s">
        <v>1482</v>
      </c>
      <c r="B441" s="7" t="s">
        <v>1501</v>
      </c>
      <c r="C441" s="7" t="s">
        <v>48</v>
      </c>
      <c r="D441" s="7" t="s">
        <v>1502</v>
      </c>
      <c r="E441" s="7" t="s">
        <v>1503</v>
      </c>
      <c r="F441" s="7" t="s">
        <v>1504</v>
      </c>
      <c r="G441" s="7" t="s">
        <v>1505</v>
      </c>
      <c r="H441" s="7" t="s">
        <v>1203</v>
      </c>
      <c r="I441" s="7" t="s">
        <v>23</v>
      </c>
      <c r="J441" s="8" t="str">
        <f aca="false">HYPERLINK("https://voxpupuli.org/","Official site")</f>
        <v>Official site</v>
      </c>
      <c r="K441" s="8" t="str">
        <f aca="false">HYPERLINK("https://thenewstack.io/openvox-the-community-driven-fork-of-puppet-has-arrived/","Evidence / lead")</f>
        <v>Evidence / lead</v>
      </c>
      <c r="L441" s="8" t="str">
        <f aca="false">HYPERLINK("https://github.com/OpenVoxProject/openvox","Language source")</f>
        <v>Language source</v>
      </c>
    </row>
    <row r="442" customFormat="false" ht="23.85" hidden="false" customHeight="false" outlineLevel="0" collapsed="false">
      <c r="A442" s="7" t="s">
        <v>1482</v>
      </c>
      <c r="B442" s="7" t="s">
        <v>1506</v>
      </c>
      <c r="C442" s="7" t="s">
        <v>48</v>
      </c>
      <c r="D442" s="7" t="s">
        <v>1507</v>
      </c>
      <c r="E442" s="7" t="s">
        <v>1508</v>
      </c>
      <c r="F442" s="7" t="s">
        <v>58</v>
      </c>
      <c r="G442" s="7" t="s">
        <v>1509</v>
      </c>
      <c r="H442" s="7" t="s">
        <v>1203</v>
      </c>
      <c r="I442" s="7" t="s">
        <v>1193</v>
      </c>
      <c r="J442" s="8" t="str">
        <f aca="false">HYPERLINK("https://saltproject.io/","Official site")</f>
        <v>Official site</v>
      </c>
      <c r="K442" s="8" t="str">
        <f aca="false">HYPERLINK("https://github.com/saltstack/salt","Evidence / lead")</f>
        <v>Evidence / lead</v>
      </c>
      <c r="L442" s="8" t="str">
        <f aca="false">HYPERLINK("https://github.com/saltstack/salt","Language source")</f>
        <v>Language source</v>
      </c>
    </row>
    <row r="443" customFormat="false" ht="23.85" hidden="false" customHeight="false" outlineLevel="0" collapsed="false">
      <c r="A443" s="7" t="s">
        <v>1482</v>
      </c>
      <c r="B443" s="7" t="s">
        <v>1510</v>
      </c>
      <c r="C443" s="7" t="s">
        <v>232</v>
      </c>
      <c r="D443" s="7" t="s">
        <v>1511</v>
      </c>
      <c r="E443" s="7" t="s">
        <v>1512</v>
      </c>
      <c r="F443" s="7" t="s">
        <v>1434</v>
      </c>
      <c r="G443" s="7" t="s">
        <v>1513</v>
      </c>
      <c r="H443" s="7" t="s">
        <v>1203</v>
      </c>
      <c r="I443" s="7" t="s">
        <v>1193</v>
      </c>
      <c r="J443" s="8" t="str">
        <f aca="false">HYPERLINK("https://www.chef.io/","Official site")</f>
        <v>Official site</v>
      </c>
      <c r="K443" s="8" t="str">
        <f aca="false">HYPERLINK("https://github.com/chef/chef","Evidence / lead")</f>
        <v>Evidence / lead</v>
      </c>
      <c r="L443" s="8" t="str">
        <f aca="false">HYPERLINK("https://github.com/chef/chef","Language source")</f>
        <v>Language source</v>
      </c>
    </row>
    <row r="444" customFormat="false" ht="23.85" hidden="false" customHeight="false" outlineLevel="0" collapsed="false">
      <c r="A444" s="7" t="s">
        <v>1482</v>
      </c>
      <c r="B444" s="7" t="s">
        <v>1514</v>
      </c>
      <c r="C444" s="7" t="s">
        <v>232</v>
      </c>
      <c r="D444" s="7" t="s">
        <v>1515</v>
      </c>
      <c r="E444" s="7" t="s">
        <v>1516</v>
      </c>
      <c r="F444" s="7" t="s">
        <v>1517</v>
      </c>
      <c r="G444" s="7" t="s">
        <v>1518</v>
      </c>
      <c r="H444" s="7" t="s">
        <v>1203</v>
      </c>
      <c r="I444" s="7" t="s">
        <v>1193</v>
      </c>
      <c r="J444" s="8" t="str">
        <f aca="false">HYPERLINK("https://osquery.io/","Official site")</f>
        <v>Official site</v>
      </c>
      <c r="K444" s="8" t="str">
        <f aca="false">HYPERLINK("https://github.com/osquery/osquery","Evidence / lead")</f>
        <v>Evidence / lead</v>
      </c>
      <c r="L444" s="8" t="str">
        <f aca="false">HYPERLINK("https://github.com/osquery/osquery","Language source")</f>
        <v>Language source</v>
      </c>
    </row>
    <row r="445" customFormat="false" ht="23.85" hidden="false" customHeight="false" outlineLevel="0" collapsed="false">
      <c r="A445" s="7" t="s">
        <v>1482</v>
      </c>
      <c r="B445" s="7" t="s">
        <v>1519</v>
      </c>
      <c r="C445" s="7" t="s">
        <v>48</v>
      </c>
      <c r="D445" s="7" t="s">
        <v>1520</v>
      </c>
      <c r="E445" s="7" t="s">
        <v>1521</v>
      </c>
      <c r="F445" s="7" t="s">
        <v>1522</v>
      </c>
      <c r="G445" s="7" t="s">
        <v>1523</v>
      </c>
      <c r="H445" s="7" t="s">
        <v>1203</v>
      </c>
      <c r="I445" s="7" t="s">
        <v>1193</v>
      </c>
      <c r="J445" s="8" t="str">
        <f aca="false">HYPERLINK("https://meshcentral.com/","Official site")</f>
        <v>Official site</v>
      </c>
      <c r="K445" s="8" t="str">
        <f aca="false">HYPERLINK("https://github.com/Ylianst/MeshCentral","Evidence / lead")</f>
        <v>Evidence / lead</v>
      </c>
      <c r="L445" s="8" t="str">
        <f aca="false">HYPERLINK("https://github.com/Ylianst/MeshCentral","Language source")</f>
        <v>Language source</v>
      </c>
    </row>
    <row r="446" customFormat="false" ht="35.05" hidden="false" customHeight="false" outlineLevel="0" collapsed="false">
      <c r="A446" s="7" t="s">
        <v>1524</v>
      </c>
      <c r="B446" s="7" t="s">
        <v>1525</v>
      </c>
      <c r="C446" s="7" t="s">
        <v>17</v>
      </c>
      <c r="D446" s="7" t="s">
        <v>1526</v>
      </c>
      <c r="E446" s="7" t="s">
        <v>1527</v>
      </c>
      <c r="F446" s="7" t="s">
        <v>1190</v>
      </c>
      <c r="G446" s="7" t="s">
        <v>1528</v>
      </c>
      <c r="H446" s="7" t="s">
        <v>1192</v>
      </c>
      <c r="I446" s="7" t="s">
        <v>23</v>
      </c>
      <c r="J446" s="8" t="str">
        <f aca="false">HYPERLINK("https://www.vmware.com/","Official site")</f>
        <v>Official site</v>
      </c>
      <c r="K446" s="8" t="str">
        <f aca="false">HYPERLINK("https://www.techzine.eu/news/infrastructure/130544/free-vmware-esxi-hypervisor-returns/","Evidence / lead")</f>
        <v>Evidence / lead</v>
      </c>
      <c r="L446" s="8" t="str">
        <f aca="false">HYPERLINK("https://www.vmware.com/","Language source")</f>
        <v>Language source</v>
      </c>
    </row>
    <row r="447" customFormat="false" ht="35.05" hidden="false" customHeight="false" outlineLevel="0" collapsed="false">
      <c r="A447" s="7" t="s">
        <v>1524</v>
      </c>
      <c r="B447" s="7" t="s">
        <v>1529</v>
      </c>
      <c r="C447" s="7" t="s">
        <v>17</v>
      </c>
      <c r="D447" s="7" t="s">
        <v>1530</v>
      </c>
      <c r="E447" s="7" t="s">
        <v>1531</v>
      </c>
      <c r="F447" s="7" t="s">
        <v>1190</v>
      </c>
      <c r="G447" s="7" t="s">
        <v>1490</v>
      </c>
      <c r="H447" s="7" t="s">
        <v>1192</v>
      </c>
      <c r="I447" s="7" t="s">
        <v>1193</v>
      </c>
      <c r="J447" s="8" t="str">
        <f aca="false">HYPERLINK("https://learn.microsoft.com/windows-server/virtualization/hyper-v/","Official site")</f>
        <v>Official site</v>
      </c>
      <c r="K447" s="8" t="str">
        <f aca="false">HYPERLINK("https://learn.microsoft.com/windows-server/virtualization/hyper-v/","Evidence / lead")</f>
        <v>Evidence / lead</v>
      </c>
      <c r="L447" s="8" t="str">
        <f aca="false">HYPERLINK("https://learn.microsoft.com/windows-server/virtualization/hyper-v/","Language source")</f>
        <v>Language source</v>
      </c>
    </row>
    <row r="448" customFormat="false" ht="35.05" hidden="false" customHeight="false" outlineLevel="0" collapsed="false">
      <c r="A448" s="7" t="s">
        <v>1524</v>
      </c>
      <c r="B448" s="7" t="s">
        <v>1532</v>
      </c>
      <c r="C448" s="7" t="s">
        <v>17</v>
      </c>
      <c r="D448" s="7" t="s">
        <v>1533</v>
      </c>
      <c r="E448" s="7" t="s">
        <v>1534</v>
      </c>
      <c r="F448" s="7" t="s">
        <v>1190</v>
      </c>
      <c r="G448" s="7" t="s">
        <v>1423</v>
      </c>
      <c r="H448" s="7" t="s">
        <v>1192</v>
      </c>
      <c r="I448" s="7" t="s">
        <v>1193</v>
      </c>
      <c r="J448" s="8" t="str">
        <f aca="false">HYPERLINK("https://www.nutanix.com/","Official site")</f>
        <v>Official site</v>
      </c>
      <c r="K448" s="8" t="str">
        <f aca="false">HYPERLINK("https://www.nutanix.com/","Evidence / lead")</f>
        <v>Evidence / lead</v>
      </c>
      <c r="L448" s="8" t="str">
        <f aca="false">HYPERLINK("https://www.nutanix.com/","Language source")</f>
        <v>Language source</v>
      </c>
    </row>
    <row r="449" customFormat="false" ht="35.05" hidden="false" customHeight="false" outlineLevel="0" collapsed="false">
      <c r="A449" s="7" t="s">
        <v>1524</v>
      </c>
      <c r="B449" s="7" t="s">
        <v>1535</v>
      </c>
      <c r="C449" s="7" t="s">
        <v>17</v>
      </c>
      <c r="D449" s="7" t="s">
        <v>1536</v>
      </c>
      <c r="E449" s="7" t="s">
        <v>1537</v>
      </c>
      <c r="F449" s="7" t="s">
        <v>1190</v>
      </c>
      <c r="G449" s="7" t="s">
        <v>1538</v>
      </c>
      <c r="H449" s="7" t="s">
        <v>1192</v>
      </c>
      <c r="I449" s="7" t="s">
        <v>1193</v>
      </c>
      <c r="J449" s="8" t="str">
        <f aca="false">HYPERLINK("https://www.xenserver.com/","Official site")</f>
        <v>Official site</v>
      </c>
      <c r="K449" s="8" t="str">
        <f aca="false">HYPERLINK("https://www.xenserver.com/","Evidence / lead")</f>
        <v>Evidence / lead</v>
      </c>
      <c r="L449" s="8" t="str">
        <f aca="false">HYPERLINK("https://www.xenserver.com/","Language source")</f>
        <v>Language source</v>
      </c>
    </row>
    <row r="450" customFormat="false" ht="23.85" hidden="false" customHeight="false" outlineLevel="0" collapsed="false">
      <c r="A450" s="7" t="s">
        <v>1524</v>
      </c>
      <c r="B450" s="7" t="s">
        <v>1539</v>
      </c>
      <c r="C450" s="7" t="s">
        <v>48</v>
      </c>
      <c r="D450" s="7" t="s">
        <v>1540</v>
      </c>
      <c r="E450" s="7" t="s">
        <v>1541</v>
      </c>
      <c r="F450" s="7" t="s">
        <v>1542</v>
      </c>
      <c r="G450" s="7" t="s">
        <v>1543</v>
      </c>
      <c r="H450" s="7" t="s">
        <v>1203</v>
      </c>
      <c r="I450" s="7" t="s">
        <v>1193</v>
      </c>
      <c r="J450" s="8" t="str">
        <f aca="false">HYPERLINK("https://www.proxmox.com/","Official site")</f>
        <v>Official site</v>
      </c>
      <c r="K450" s="8" t="str">
        <f aca="false">HYPERLINK("https://git.proxmox.com/","Evidence / lead")</f>
        <v>Evidence / lead</v>
      </c>
      <c r="L450" s="8" t="str">
        <f aca="false">HYPERLINK("https://git.proxmox.com/","Language source")</f>
        <v>Language source</v>
      </c>
    </row>
    <row r="451" customFormat="false" ht="23.85" hidden="false" customHeight="false" outlineLevel="0" collapsed="false">
      <c r="A451" s="7" t="s">
        <v>1524</v>
      </c>
      <c r="B451" s="7" t="s">
        <v>1544</v>
      </c>
      <c r="C451" s="7" t="s">
        <v>48</v>
      </c>
      <c r="D451" s="7" t="s">
        <v>1545</v>
      </c>
      <c r="E451" s="7" t="s">
        <v>1546</v>
      </c>
      <c r="F451" s="7" t="s">
        <v>1547</v>
      </c>
      <c r="G451" s="7" t="s">
        <v>1538</v>
      </c>
      <c r="H451" s="7" t="s">
        <v>1203</v>
      </c>
      <c r="I451" s="7" t="s">
        <v>1193</v>
      </c>
      <c r="J451" s="8" t="str">
        <f aca="false">HYPERLINK("https://xcp-ng.org/","Official site")</f>
        <v>Official site</v>
      </c>
      <c r="K451" s="8" t="str">
        <f aca="false">HYPERLINK("https://github.com/xcp-ng","Evidence / lead")</f>
        <v>Evidence / lead</v>
      </c>
      <c r="L451" s="8" t="str">
        <f aca="false">HYPERLINK("https://github.com/xcp-ng","Language source")</f>
        <v>Language source</v>
      </c>
    </row>
    <row r="452" customFormat="false" ht="23.85" hidden="false" customHeight="false" outlineLevel="0" collapsed="false">
      <c r="A452" s="7" t="s">
        <v>1524</v>
      </c>
      <c r="B452" s="7" t="s">
        <v>1548</v>
      </c>
      <c r="C452" s="7" t="s">
        <v>48</v>
      </c>
      <c r="D452" s="7" t="s">
        <v>1549</v>
      </c>
      <c r="E452" s="7" t="s">
        <v>1550</v>
      </c>
      <c r="F452" s="7" t="s">
        <v>1258</v>
      </c>
      <c r="G452" s="7" t="s">
        <v>1551</v>
      </c>
      <c r="H452" s="7" t="s">
        <v>1203</v>
      </c>
      <c r="I452" s="7" t="s">
        <v>1193</v>
      </c>
      <c r="J452" s="8" t="str">
        <f aca="false">HYPERLINK("https://www.qemu.org/","Official site")</f>
        <v>Official site</v>
      </c>
      <c r="K452" s="8" t="str">
        <f aca="false">HYPERLINK("https://gitlab.com/qemu-project/qemu","Evidence / lead")</f>
        <v>Evidence / lead</v>
      </c>
      <c r="L452" s="8" t="str">
        <f aca="false">HYPERLINK("https://gitlab.com/qemu-project/qemu","Language source")</f>
        <v>Language source</v>
      </c>
    </row>
    <row r="453" customFormat="false" ht="23.85" hidden="false" customHeight="false" outlineLevel="0" collapsed="false">
      <c r="A453" s="7" t="s">
        <v>1524</v>
      </c>
      <c r="B453" s="7" t="s">
        <v>1552</v>
      </c>
      <c r="C453" s="7" t="s">
        <v>48</v>
      </c>
      <c r="D453" s="7" t="s">
        <v>1553</v>
      </c>
      <c r="E453" s="7" t="s">
        <v>1554</v>
      </c>
      <c r="F453" s="7" t="s">
        <v>58</v>
      </c>
      <c r="G453" s="7" t="s">
        <v>1555</v>
      </c>
      <c r="H453" s="7" t="s">
        <v>1203</v>
      </c>
      <c r="I453" s="7" t="s">
        <v>1193</v>
      </c>
      <c r="J453" s="8" t="str">
        <f aca="false">HYPERLINK("https://www.openstack.org/","Official site")</f>
        <v>Official site</v>
      </c>
      <c r="K453" s="8" t="str">
        <f aca="false">HYPERLINK("https://opendev.org/openstack","Evidence / lead")</f>
        <v>Evidence / lead</v>
      </c>
      <c r="L453" s="8" t="str">
        <f aca="false">HYPERLINK("https://opendev.org/openstack","Language source")</f>
        <v>Language source</v>
      </c>
    </row>
    <row r="454" customFormat="false" ht="23.85" hidden="false" customHeight="false" outlineLevel="0" collapsed="false">
      <c r="A454" s="7" t="s">
        <v>1524</v>
      </c>
      <c r="B454" s="7" t="s">
        <v>1556</v>
      </c>
      <c r="C454" s="7" t="s">
        <v>48</v>
      </c>
      <c r="D454" s="7" t="s">
        <v>1557</v>
      </c>
      <c r="E454" s="7" t="s">
        <v>1558</v>
      </c>
      <c r="F454" s="7" t="s">
        <v>1315</v>
      </c>
      <c r="G454" s="7" t="s">
        <v>1423</v>
      </c>
      <c r="H454" s="7" t="s">
        <v>1203</v>
      </c>
      <c r="I454" s="7" t="s">
        <v>1193</v>
      </c>
      <c r="J454" s="8" t="str">
        <f aca="false">HYPERLINK("https://cloudstack.apache.org/","Official site")</f>
        <v>Official site</v>
      </c>
      <c r="K454" s="8" t="str">
        <f aca="false">HYPERLINK("https://github.com/apache/cloudstack","Evidence / lead")</f>
        <v>Evidence / lead</v>
      </c>
      <c r="L454" s="8" t="str">
        <f aca="false">HYPERLINK("https://github.com/apache/cloudstack","Language source")</f>
        <v>Language source</v>
      </c>
    </row>
    <row r="455" customFormat="false" ht="23.85" hidden="false" customHeight="false" outlineLevel="0" collapsed="false">
      <c r="A455" s="7" t="s">
        <v>1524</v>
      </c>
      <c r="B455" s="7" t="s">
        <v>1559</v>
      </c>
      <c r="C455" s="7" t="s">
        <v>48</v>
      </c>
      <c r="D455" s="7" t="s">
        <v>1560</v>
      </c>
      <c r="E455" s="7" t="s">
        <v>1561</v>
      </c>
      <c r="F455" s="7" t="s">
        <v>1219</v>
      </c>
      <c r="G455" s="7" t="s">
        <v>1562</v>
      </c>
      <c r="H455" s="7" t="s">
        <v>1203</v>
      </c>
      <c r="I455" s="7" t="s">
        <v>1193</v>
      </c>
      <c r="J455" s="8" t="str">
        <f aca="false">HYPERLINK("https://harvesterhci.io/","Official site")</f>
        <v>Official site</v>
      </c>
      <c r="K455" s="8" t="str">
        <f aca="false">HYPERLINK("https://github.com/harvester/harvester","Evidence / lead")</f>
        <v>Evidence / lead</v>
      </c>
      <c r="L455" s="8" t="str">
        <f aca="false">HYPERLINK("https://github.com/harvester/harvester","Language source")</f>
        <v>Language source</v>
      </c>
    </row>
    <row r="456" customFormat="false" ht="23.85" hidden="false" customHeight="false" outlineLevel="0" collapsed="false">
      <c r="A456" s="7" t="s">
        <v>1563</v>
      </c>
      <c r="B456" s="7" t="s">
        <v>1564</v>
      </c>
      <c r="C456" s="7" t="s">
        <v>849</v>
      </c>
      <c r="D456" s="7" t="s">
        <v>1565</v>
      </c>
      <c r="E456" s="7" t="s">
        <v>1566</v>
      </c>
      <c r="F456" s="7" t="s">
        <v>1219</v>
      </c>
      <c r="G456" s="7" t="s">
        <v>1567</v>
      </c>
      <c r="H456" s="7" t="s">
        <v>1203</v>
      </c>
      <c r="I456" s="7" t="s">
        <v>1193</v>
      </c>
      <c r="J456" s="8" t="str">
        <f aca="false">HYPERLINK("https://www.terraform.io/","Official site")</f>
        <v>Official site</v>
      </c>
      <c r="K456" s="8" t="str">
        <f aca="false">HYPERLINK("https://github.com/hashicorp/terraform","Evidence / lead")</f>
        <v>Evidence / lead</v>
      </c>
      <c r="L456" s="8" t="str">
        <f aca="false">HYPERLINK("https://github.com/hashicorp/terraform","Language source")</f>
        <v>Language source</v>
      </c>
    </row>
    <row r="457" customFormat="false" ht="23.85" hidden="false" customHeight="false" outlineLevel="0" collapsed="false">
      <c r="A457" s="7" t="s">
        <v>1563</v>
      </c>
      <c r="B457" s="7" t="s">
        <v>1568</v>
      </c>
      <c r="C457" s="7" t="s">
        <v>48</v>
      </c>
      <c r="D457" s="7" t="s">
        <v>1569</v>
      </c>
      <c r="E457" s="7" t="s">
        <v>1570</v>
      </c>
      <c r="F457" s="7" t="s">
        <v>1219</v>
      </c>
      <c r="G457" s="7" t="s">
        <v>1567</v>
      </c>
      <c r="H457" s="7" t="s">
        <v>1203</v>
      </c>
      <c r="I457" s="7" t="s">
        <v>1193</v>
      </c>
      <c r="J457" s="8" t="str">
        <f aca="false">HYPERLINK("https://opentofu.org/","Official site")</f>
        <v>Official site</v>
      </c>
      <c r="K457" s="8" t="str">
        <f aca="false">HYPERLINK("https://github.com/opentofu/opentofu","Evidence / lead")</f>
        <v>Evidence / lead</v>
      </c>
      <c r="L457" s="8" t="str">
        <f aca="false">HYPERLINK("https://github.com/opentofu/opentofu","Language source")</f>
        <v>Language source</v>
      </c>
    </row>
    <row r="458" customFormat="false" ht="23.85" hidden="false" customHeight="false" outlineLevel="0" collapsed="false">
      <c r="A458" s="7" t="s">
        <v>1563</v>
      </c>
      <c r="B458" s="7" t="s">
        <v>1571</v>
      </c>
      <c r="C458" s="7" t="s">
        <v>48</v>
      </c>
      <c r="D458" s="7" t="s">
        <v>1572</v>
      </c>
      <c r="E458" s="7" t="s">
        <v>1573</v>
      </c>
      <c r="F458" s="7" t="s">
        <v>1219</v>
      </c>
      <c r="G458" s="7" t="s">
        <v>1574</v>
      </c>
      <c r="H458" s="7" t="s">
        <v>1203</v>
      </c>
      <c r="I458" s="7" t="s">
        <v>1193</v>
      </c>
      <c r="J458" s="8" t="str">
        <f aca="false">HYPERLINK("https://kubernetes.io/","Official site")</f>
        <v>Official site</v>
      </c>
      <c r="K458" s="8" t="str">
        <f aca="false">HYPERLINK("https://github.com/kubernetes/kubernetes","Evidence / lead")</f>
        <v>Evidence / lead</v>
      </c>
      <c r="L458" s="8" t="str">
        <f aca="false">HYPERLINK("https://github.com/kubernetes/kubernetes","Language source")</f>
        <v>Language source</v>
      </c>
    </row>
    <row r="459" customFormat="false" ht="35.05" hidden="false" customHeight="false" outlineLevel="0" collapsed="false">
      <c r="A459" s="7" t="s">
        <v>1563</v>
      </c>
      <c r="B459" s="7" t="s">
        <v>1575</v>
      </c>
      <c r="C459" s="7" t="s">
        <v>17</v>
      </c>
      <c r="D459" s="7" t="s">
        <v>1576</v>
      </c>
      <c r="E459" s="7" t="s">
        <v>1577</v>
      </c>
      <c r="F459" s="7" t="s">
        <v>1190</v>
      </c>
      <c r="G459" s="7" t="s">
        <v>1578</v>
      </c>
      <c r="H459" s="7" t="s">
        <v>1192</v>
      </c>
      <c r="I459" s="7" t="s">
        <v>1193</v>
      </c>
      <c r="J459" s="8" t="str">
        <f aca="false">HYPERLINK("https://www.redhat.com/en/technologies/cloud-computing/openshift","Official site")</f>
        <v>Official site</v>
      </c>
      <c r="K459" s="8" t="str">
        <f aca="false">HYPERLINK("https://www.redhat.com/en/technologies/cloud-computing/openshift","Evidence / lead")</f>
        <v>Evidence / lead</v>
      </c>
      <c r="L459" s="8" t="str">
        <f aca="false">HYPERLINK("https://www.redhat.com/en/technologies/cloud-computing/openshift","Language source")</f>
        <v>Language source</v>
      </c>
    </row>
    <row r="460" customFormat="false" ht="23.85" hidden="false" customHeight="false" outlineLevel="0" collapsed="false">
      <c r="A460" s="7" t="s">
        <v>1563</v>
      </c>
      <c r="B460" s="7" t="s">
        <v>1579</v>
      </c>
      <c r="C460" s="7" t="s">
        <v>48</v>
      </c>
      <c r="D460" s="7" t="s">
        <v>1580</v>
      </c>
      <c r="E460" s="7" t="s">
        <v>1581</v>
      </c>
      <c r="F460" s="7" t="s">
        <v>1219</v>
      </c>
      <c r="G460" s="7" t="s">
        <v>1582</v>
      </c>
      <c r="H460" s="7" t="s">
        <v>1203</v>
      </c>
      <c r="I460" s="7" t="s">
        <v>1193</v>
      </c>
      <c r="J460" s="8" t="str">
        <f aca="false">HYPERLINK("https://docs.docker.com/engine/","Official site")</f>
        <v>Official site</v>
      </c>
      <c r="K460" s="8" t="str">
        <f aca="false">HYPERLINK("https://github.com/moby/moby","Evidence / lead")</f>
        <v>Evidence / lead</v>
      </c>
      <c r="L460" s="8" t="str">
        <f aca="false">HYPERLINK("https://github.com/moby/moby","Language source")</f>
        <v>Language source</v>
      </c>
    </row>
    <row r="461" customFormat="false" ht="23.85" hidden="false" customHeight="false" outlineLevel="0" collapsed="false">
      <c r="A461" s="7" t="s">
        <v>1563</v>
      </c>
      <c r="B461" s="7" t="s">
        <v>1583</v>
      </c>
      <c r="C461" s="7" t="s">
        <v>232</v>
      </c>
      <c r="D461" s="7" t="s">
        <v>1584</v>
      </c>
      <c r="E461" s="7" t="s">
        <v>1585</v>
      </c>
      <c r="F461" s="7" t="s">
        <v>1586</v>
      </c>
      <c r="G461" s="7" t="s">
        <v>1587</v>
      </c>
      <c r="H461" s="7" t="s">
        <v>1203</v>
      </c>
      <c r="I461" s="7" t="s">
        <v>1193</v>
      </c>
      <c r="J461" s="8" t="str">
        <f aca="false">HYPERLINK("https://about.gitlab.com/","Official site")</f>
        <v>Official site</v>
      </c>
      <c r="K461" s="8" t="str">
        <f aca="false">HYPERLINK("https://gitlab.com/gitlab-org/gitlab","Evidence / lead")</f>
        <v>Evidence / lead</v>
      </c>
      <c r="L461" s="8" t="str">
        <f aca="false">HYPERLINK("https://gitlab.com/gitlab-org/gitlab","Language source")</f>
        <v>Language source</v>
      </c>
    </row>
    <row r="462" customFormat="false" ht="35.05" hidden="false" customHeight="false" outlineLevel="0" collapsed="false">
      <c r="A462" s="7" t="s">
        <v>1563</v>
      </c>
      <c r="B462" s="7" t="s">
        <v>1588</v>
      </c>
      <c r="C462" s="7" t="s">
        <v>17</v>
      </c>
      <c r="D462" s="7" t="s">
        <v>1589</v>
      </c>
      <c r="E462" s="7" t="s">
        <v>1590</v>
      </c>
      <c r="F462" s="7" t="s">
        <v>1190</v>
      </c>
      <c r="G462" s="7" t="s">
        <v>1591</v>
      </c>
      <c r="H462" s="7" t="s">
        <v>1192</v>
      </c>
      <c r="I462" s="7" t="s">
        <v>1193</v>
      </c>
      <c r="J462" s="8" t="str">
        <f aca="false">HYPERLINK("https://docs.github.com/actions","Official site")</f>
        <v>Official site</v>
      </c>
      <c r="K462" s="8" t="str">
        <f aca="false">HYPERLINK("https://docs.github.com/actions","Evidence / lead")</f>
        <v>Evidence / lead</v>
      </c>
      <c r="L462" s="8" t="str">
        <f aca="false">HYPERLINK("https://docs.github.com/actions","Language source")</f>
        <v>Language source</v>
      </c>
    </row>
    <row r="463" customFormat="false" ht="23.85" hidden="false" customHeight="false" outlineLevel="0" collapsed="false">
      <c r="A463" s="7" t="s">
        <v>1563</v>
      </c>
      <c r="B463" s="7" t="s">
        <v>1592</v>
      </c>
      <c r="C463" s="7" t="s">
        <v>48</v>
      </c>
      <c r="D463" s="7" t="s">
        <v>1593</v>
      </c>
      <c r="E463" s="7" t="s">
        <v>1594</v>
      </c>
      <c r="F463" s="7" t="s">
        <v>1315</v>
      </c>
      <c r="G463" s="7" t="s">
        <v>1595</v>
      </c>
      <c r="H463" s="7" t="s">
        <v>1203</v>
      </c>
      <c r="I463" s="7" t="s">
        <v>1193</v>
      </c>
      <c r="J463" s="8" t="str">
        <f aca="false">HYPERLINK("https://www.jenkins.io/","Official site")</f>
        <v>Official site</v>
      </c>
      <c r="K463" s="8" t="str">
        <f aca="false">HYPERLINK("https://github.com/jenkinsci/jenkins","Evidence / lead")</f>
        <v>Evidence / lead</v>
      </c>
      <c r="L463" s="8" t="str">
        <f aca="false">HYPERLINK("https://github.com/jenkinsci/jenkins","Language source")</f>
        <v>Language source</v>
      </c>
    </row>
    <row r="464" customFormat="false" ht="23.85" hidden="false" customHeight="false" outlineLevel="0" collapsed="false">
      <c r="A464" s="7" t="s">
        <v>1563</v>
      </c>
      <c r="B464" s="7" t="s">
        <v>1596</v>
      </c>
      <c r="C464" s="7" t="s">
        <v>48</v>
      </c>
      <c r="D464" s="7" t="s">
        <v>1597</v>
      </c>
      <c r="E464" s="7" t="s">
        <v>1598</v>
      </c>
      <c r="F464" s="7" t="s">
        <v>1219</v>
      </c>
      <c r="G464" s="7" t="s">
        <v>1599</v>
      </c>
      <c r="H464" s="7" t="s">
        <v>1203</v>
      </c>
      <c r="I464" s="7" t="s">
        <v>1193</v>
      </c>
      <c r="J464" s="8" t="str">
        <f aca="false">HYPERLINK("https://argo-cd.readthedocs.io/","Official site")</f>
        <v>Official site</v>
      </c>
      <c r="K464" s="8" t="str">
        <f aca="false">HYPERLINK("https://github.com/argoproj/argo-cd","Evidence / lead")</f>
        <v>Evidence / lead</v>
      </c>
      <c r="L464" s="8" t="str">
        <f aca="false">HYPERLINK("https://github.com/argoproj/argo-cd","Language source")</f>
        <v>Language source</v>
      </c>
    </row>
    <row r="465" customFormat="false" ht="23.85" hidden="false" customHeight="false" outlineLevel="0" collapsed="false">
      <c r="A465" s="7" t="s">
        <v>1563</v>
      </c>
      <c r="B465" s="7" t="s">
        <v>1600</v>
      </c>
      <c r="C465" s="7" t="s">
        <v>849</v>
      </c>
      <c r="D465" s="7" t="s">
        <v>1601</v>
      </c>
      <c r="E465" s="7" t="s">
        <v>1602</v>
      </c>
      <c r="F465" s="7" t="s">
        <v>1219</v>
      </c>
      <c r="G465" s="7" t="s">
        <v>1603</v>
      </c>
      <c r="H465" s="7" t="s">
        <v>1203</v>
      </c>
      <c r="I465" s="7" t="s">
        <v>1193</v>
      </c>
      <c r="J465" s="8" t="str">
        <f aca="false">HYPERLINK("https://www.vaultproject.io/","Official site")</f>
        <v>Official site</v>
      </c>
      <c r="K465" s="8" t="str">
        <f aca="false">HYPERLINK("https://github.com/hashicorp/vault","Evidence / lead")</f>
        <v>Evidence / lead</v>
      </c>
      <c r="L465" s="8" t="str">
        <f aca="false">HYPERLINK("https://github.com/hashicorp/vault","Language source")</f>
        <v>Language source</v>
      </c>
    </row>
    <row r="466" customFormat="false" ht="35.05" hidden="false" customHeight="false" outlineLevel="0" collapsed="false">
      <c r="A466" s="7" t="s">
        <v>1604</v>
      </c>
      <c r="B466" s="7" t="s">
        <v>1605</v>
      </c>
      <c r="C466" s="7" t="s">
        <v>17</v>
      </c>
      <c r="D466" s="7" t="s">
        <v>1606</v>
      </c>
      <c r="E466" s="7" t="s">
        <v>1607</v>
      </c>
      <c r="F466" s="7" t="s">
        <v>1190</v>
      </c>
      <c r="G466" s="7" t="s">
        <v>1608</v>
      </c>
      <c r="H466" s="7" t="s">
        <v>1192</v>
      </c>
      <c r="I466" s="7" t="s">
        <v>1193</v>
      </c>
      <c r="J466" s="8" t="str">
        <f aca="false">HYPERLINK("https://www.oracle.com/database/","Official site")</f>
        <v>Official site</v>
      </c>
      <c r="K466" s="8" t="str">
        <f aca="false">HYPERLINK("https://www.oracle.com/database/","Evidence / lead")</f>
        <v>Evidence / lead</v>
      </c>
      <c r="L466" s="8" t="str">
        <f aca="false">HYPERLINK("https://www.oracle.com/database/","Language source")</f>
        <v>Language source</v>
      </c>
    </row>
    <row r="467" customFormat="false" ht="35.05" hidden="false" customHeight="false" outlineLevel="0" collapsed="false">
      <c r="A467" s="7" t="s">
        <v>1604</v>
      </c>
      <c r="B467" s="7" t="s">
        <v>1609</v>
      </c>
      <c r="C467" s="7" t="s">
        <v>17</v>
      </c>
      <c r="D467" s="7" t="s">
        <v>1606</v>
      </c>
      <c r="E467" s="7" t="s">
        <v>1610</v>
      </c>
      <c r="F467" s="7" t="s">
        <v>1190</v>
      </c>
      <c r="G467" s="7" t="s">
        <v>1611</v>
      </c>
      <c r="H467" s="7" t="s">
        <v>1192</v>
      </c>
      <c r="I467" s="7" t="s">
        <v>1193</v>
      </c>
      <c r="J467" s="8" t="str">
        <f aca="false">HYPERLINK("https://www.microsoft.com/sql-server","Official site")</f>
        <v>Official site</v>
      </c>
      <c r="K467" s="8" t="str">
        <f aca="false">HYPERLINK("https://www.microsoft.com/sql-server","Evidence / lead")</f>
        <v>Evidence / lead</v>
      </c>
      <c r="L467" s="8" t="str">
        <f aca="false">HYPERLINK("https://www.microsoft.com/sql-server","Language source")</f>
        <v>Language source</v>
      </c>
    </row>
    <row r="468" customFormat="false" ht="35.05" hidden="false" customHeight="false" outlineLevel="0" collapsed="false">
      <c r="A468" s="7" t="s">
        <v>1604</v>
      </c>
      <c r="B468" s="7" t="s">
        <v>1612</v>
      </c>
      <c r="C468" s="7" t="s">
        <v>17</v>
      </c>
      <c r="D468" s="7" t="s">
        <v>1613</v>
      </c>
      <c r="E468" s="7" t="s">
        <v>1614</v>
      </c>
      <c r="F468" s="7" t="s">
        <v>1190</v>
      </c>
      <c r="G468" s="7" t="s">
        <v>1615</v>
      </c>
      <c r="H468" s="7" t="s">
        <v>1192</v>
      </c>
      <c r="I468" s="7" t="s">
        <v>1193</v>
      </c>
      <c r="J468" s="8" t="str">
        <f aca="false">HYPERLINK("https://www.aveva.com/en/products/aveva-pi-system/","Official site")</f>
        <v>Official site</v>
      </c>
      <c r="K468" s="8" t="str">
        <f aca="false">HYPERLINK("https://www.aveva.com/en/products/aveva-pi-system/","Evidence / lead")</f>
        <v>Evidence / lead</v>
      </c>
      <c r="L468" s="8" t="str">
        <f aca="false">HYPERLINK("https://www.aveva.com/en/products/aveva-pi-system/","Language source")</f>
        <v>Language source</v>
      </c>
    </row>
    <row r="469" customFormat="false" ht="23.85" hidden="false" customHeight="false" outlineLevel="0" collapsed="false">
      <c r="A469" s="7" t="s">
        <v>1604</v>
      </c>
      <c r="B469" s="7" t="s">
        <v>1616</v>
      </c>
      <c r="C469" s="7" t="s">
        <v>48</v>
      </c>
      <c r="D469" s="7" t="s">
        <v>1617</v>
      </c>
      <c r="E469" s="7" t="s">
        <v>1618</v>
      </c>
      <c r="F469" s="7" t="s">
        <v>1258</v>
      </c>
      <c r="G469" s="7" t="s">
        <v>1619</v>
      </c>
      <c r="H469" s="7" t="s">
        <v>1203</v>
      </c>
      <c r="I469" s="7" t="s">
        <v>1193</v>
      </c>
      <c r="J469" s="8" t="str">
        <f aca="false">HYPERLINK("https://www.postgresql.org/","Official site")</f>
        <v>Official site</v>
      </c>
      <c r="K469" s="8" t="str">
        <f aca="false">HYPERLINK("https://github.com/postgres/postgres","Evidence / lead")</f>
        <v>Evidence / lead</v>
      </c>
      <c r="L469" s="8" t="str">
        <f aca="false">HYPERLINK("https://github.com/postgres/postgres","Language source")</f>
        <v>Language source</v>
      </c>
    </row>
    <row r="470" customFormat="false" ht="23.85" hidden="false" customHeight="false" outlineLevel="0" collapsed="false">
      <c r="A470" s="7" t="s">
        <v>1604</v>
      </c>
      <c r="B470" s="7" t="s">
        <v>1620</v>
      </c>
      <c r="C470" s="7" t="s">
        <v>232</v>
      </c>
      <c r="D470" s="7" t="s">
        <v>1621</v>
      </c>
      <c r="E470" s="7" t="s">
        <v>1622</v>
      </c>
      <c r="F470" s="7" t="s">
        <v>653</v>
      </c>
      <c r="G470" s="7" t="s">
        <v>1518</v>
      </c>
      <c r="H470" s="7" t="s">
        <v>1203</v>
      </c>
      <c r="I470" s="7" t="s">
        <v>1193</v>
      </c>
      <c r="J470" s="8" t="str">
        <f aca="false">HYPERLINK("https://www.mysql.com/","Official site")</f>
        <v>Official site</v>
      </c>
      <c r="K470" s="8" t="str">
        <f aca="false">HYPERLINK("https://github.com/mysql/mysql-server","Evidence / lead")</f>
        <v>Evidence / lead</v>
      </c>
      <c r="L470" s="8" t="str">
        <f aca="false">HYPERLINK("https://github.com/mysql/mysql-server","Language source")</f>
        <v>Language source</v>
      </c>
    </row>
    <row r="471" customFormat="false" ht="23.85" hidden="false" customHeight="false" outlineLevel="0" collapsed="false">
      <c r="A471" s="7" t="s">
        <v>1604</v>
      </c>
      <c r="B471" s="7" t="s">
        <v>1623</v>
      </c>
      <c r="C471" s="7" t="s">
        <v>849</v>
      </c>
      <c r="D471" s="7" t="s">
        <v>1624</v>
      </c>
      <c r="E471" s="7" t="s">
        <v>1625</v>
      </c>
      <c r="F471" s="7" t="s">
        <v>653</v>
      </c>
      <c r="G471" s="7" t="s">
        <v>1626</v>
      </c>
      <c r="H471" s="7" t="s">
        <v>1203</v>
      </c>
      <c r="I471" s="7" t="s">
        <v>1193</v>
      </c>
      <c r="J471" s="8" t="str">
        <f aca="false">HYPERLINK("https://www.mongodb.com/","Official site")</f>
        <v>Official site</v>
      </c>
      <c r="K471" s="8" t="str">
        <f aca="false">HYPERLINK("https://github.com/mongodb/mongo","Evidence / lead")</f>
        <v>Evidence / lead</v>
      </c>
      <c r="L471" s="8" t="str">
        <f aca="false">HYPERLINK("https://github.com/mongodb/mongo","Language source")</f>
        <v>Language source</v>
      </c>
    </row>
    <row r="472" customFormat="false" ht="23.85" hidden="false" customHeight="false" outlineLevel="0" collapsed="false">
      <c r="A472" s="7" t="s">
        <v>1604</v>
      </c>
      <c r="B472" s="7" t="s">
        <v>1627</v>
      </c>
      <c r="C472" s="7" t="s">
        <v>48</v>
      </c>
      <c r="D472" s="7" t="s">
        <v>1628</v>
      </c>
      <c r="E472" s="7" t="s">
        <v>1629</v>
      </c>
      <c r="F472" s="7" t="s">
        <v>1258</v>
      </c>
      <c r="G472" s="7" t="s">
        <v>1630</v>
      </c>
      <c r="H472" s="7" t="s">
        <v>1203</v>
      </c>
      <c r="I472" s="7" t="s">
        <v>23</v>
      </c>
      <c r="J472" s="8" t="str">
        <f aca="false">HYPERLINK("https://redis.io/","Official site")</f>
        <v>Official site</v>
      </c>
      <c r="K472" s="8" t="str">
        <f aca="false">HYPERLINK("https://www.infoq.com/news/2025/05/redis-agpl-license","Evidence / lead")</f>
        <v>Evidence / lead</v>
      </c>
      <c r="L472" s="8" t="str">
        <f aca="false">HYPERLINK("https://github.com/redis/redis","Language source")</f>
        <v>Language source</v>
      </c>
    </row>
    <row r="473" customFormat="false" ht="23.85" hidden="false" customHeight="false" outlineLevel="0" collapsed="false">
      <c r="A473" s="7" t="s">
        <v>1604</v>
      </c>
      <c r="B473" s="7" t="s">
        <v>1631</v>
      </c>
      <c r="C473" s="7" t="s">
        <v>232</v>
      </c>
      <c r="D473" s="7" t="s">
        <v>1632</v>
      </c>
      <c r="E473" s="7" t="s">
        <v>1633</v>
      </c>
      <c r="F473" s="7" t="s">
        <v>1258</v>
      </c>
      <c r="G473" s="7" t="s">
        <v>1518</v>
      </c>
      <c r="H473" s="7" t="s">
        <v>1203</v>
      </c>
      <c r="I473" s="7" t="s">
        <v>1193</v>
      </c>
      <c r="J473" s="8" t="str">
        <f aca="false">HYPERLINK("https://github.com/timescale/timescaledb","Official site")</f>
        <v>Official site</v>
      </c>
      <c r="K473" s="8" t="str">
        <f aca="false">HYPERLINK("https://github.com/timescale/timescaledb","Evidence / lead")</f>
        <v>Evidence / lead</v>
      </c>
      <c r="L473" s="8" t="str">
        <f aca="false">HYPERLINK("https://github.com/timescale/timescaledb","Language source")</f>
        <v>Language source</v>
      </c>
    </row>
    <row r="474" customFormat="false" ht="23.85" hidden="false" customHeight="false" outlineLevel="0" collapsed="false">
      <c r="A474" s="7" t="s">
        <v>1604</v>
      </c>
      <c r="B474" s="7" t="s">
        <v>1634</v>
      </c>
      <c r="C474" s="7" t="s">
        <v>232</v>
      </c>
      <c r="D474" s="7" t="s">
        <v>1635</v>
      </c>
      <c r="E474" s="7" t="s">
        <v>1636</v>
      </c>
      <c r="F474" s="7" t="s">
        <v>1637</v>
      </c>
      <c r="G474" s="7" t="s">
        <v>1638</v>
      </c>
      <c r="H474" s="7" t="s">
        <v>1203</v>
      </c>
      <c r="I474" s="7" t="s">
        <v>1193</v>
      </c>
      <c r="J474" s="8" t="str">
        <f aca="false">HYPERLINK("https://www.influxdata.com/","Official site")</f>
        <v>Official site</v>
      </c>
      <c r="K474" s="8" t="str">
        <f aca="false">HYPERLINK("https://github.com/influxdata/influxdb","Evidence / lead")</f>
        <v>Evidence / lead</v>
      </c>
      <c r="L474" s="8" t="str">
        <f aca="false">HYPERLINK("https://github.com/influxdata/influxdb","Language source")</f>
        <v>Language source</v>
      </c>
    </row>
    <row r="475" customFormat="false" ht="23.85" hidden="false" customHeight="false" outlineLevel="0" collapsed="false">
      <c r="A475" s="7" t="s">
        <v>1604</v>
      </c>
      <c r="B475" s="7" t="s">
        <v>1639</v>
      </c>
      <c r="C475" s="7" t="s">
        <v>48</v>
      </c>
      <c r="D475" s="7" t="s">
        <v>1640</v>
      </c>
      <c r="E475" s="7" t="s">
        <v>1641</v>
      </c>
      <c r="F475" s="7" t="s">
        <v>1258</v>
      </c>
      <c r="G475" s="7" t="s">
        <v>1518</v>
      </c>
      <c r="H475" s="7" t="s">
        <v>1203</v>
      </c>
      <c r="I475" s="7" t="s">
        <v>1193</v>
      </c>
      <c r="J475" s="8" t="str">
        <f aca="false">HYPERLINK("https://www.sqlite.org/","Official site")</f>
        <v>Official site</v>
      </c>
      <c r="K475" s="8" t="str">
        <f aca="false">HYPERLINK("https://www.sqlite.org/src/","Evidence / lead")</f>
        <v>Evidence / lead</v>
      </c>
      <c r="L475" s="8" t="str">
        <f aca="false">HYPERLINK("https://www.sqlite.org/src/","Language source")</f>
        <v>Language source</v>
      </c>
    </row>
    <row r="476" customFormat="false" ht="35.05" hidden="false" customHeight="false" outlineLevel="0" collapsed="false">
      <c r="A476" s="7" t="s">
        <v>1642</v>
      </c>
      <c r="B476" s="7" t="s">
        <v>1643</v>
      </c>
      <c r="C476" s="7" t="s">
        <v>17</v>
      </c>
      <c r="D476" s="7" t="s">
        <v>1644</v>
      </c>
      <c r="E476" s="7" t="s">
        <v>1645</v>
      </c>
      <c r="F476" s="7" t="s">
        <v>1190</v>
      </c>
      <c r="G476" s="7" t="s">
        <v>1646</v>
      </c>
      <c r="H476" s="7" t="s">
        <v>1192</v>
      </c>
      <c r="I476" s="7" t="s">
        <v>1193</v>
      </c>
      <c r="J476" s="8" t="str">
        <f aca="false">HYPERLINK("https://www.servicenow.com/","Official site")</f>
        <v>Official site</v>
      </c>
      <c r="K476" s="8" t="str">
        <f aca="false">HYPERLINK("https://www.servicenow.com/","Evidence / lead")</f>
        <v>Evidence / lead</v>
      </c>
      <c r="L476" s="8" t="str">
        <f aca="false">HYPERLINK("https://www.servicenow.com/","Language source")</f>
        <v>Language source</v>
      </c>
    </row>
    <row r="477" customFormat="false" ht="35.05" hidden="false" customHeight="false" outlineLevel="0" collapsed="false">
      <c r="A477" s="7" t="s">
        <v>1642</v>
      </c>
      <c r="B477" s="7" t="s">
        <v>1647</v>
      </c>
      <c r="C477" s="7" t="s">
        <v>17</v>
      </c>
      <c r="D477" s="7" t="s">
        <v>1648</v>
      </c>
      <c r="E477" s="7" t="s">
        <v>1649</v>
      </c>
      <c r="F477" s="7" t="s">
        <v>1190</v>
      </c>
      <c r="G477" s="7" t="s">
        <v>1650</v>
      </c>
      <c r="H477" s="7" t="s">
        <v>1192</v>
      </c>
      <c r="I477" s="7" t="s">
        <v>1193</v>
      </c>
      <c r="J477" s="8" t="str">
        <f aca="false">HYPERLINK("https://www.atlassian.com/software/jira/service-management","Official site")</f>
        <v>Official site</v>
      </c>
      <c r="K477" s="8" t="str">
        <f aca="false">HYPERLINK("https://www.atlassian.com/software/jira/service-management","Evidence / lead")</f>
        <v>Evidence / lead</v>
      </c>
      <c r="L477" s="8" t="str">
        <f aca="false">HYPERLINK("https://www.atlassian.com/software/jira/service-management","Language source")</f>
        <v>Language source</v>
      </c>
    </row>
    <row r="478" customFormat="false" ht="35.05" hidden="false" customHeight="false" outlineLevel="0" collapsed="false">
      <c r="A478" s="7" t="s">
        <v>1642</v>
      </c>
      <c r="B478" s="7" t="s">
        <v>1651</v>
      </c>
      <c r="C478" s="7" t="s">
        <v>17</v>
      </c>
      <c r="D478" s="7" t="s">
        <v>1652</v>
      </c>
      <c r="E478" s="7" t="s">
        <v>1653</v>
      </c>
      <c r="F478" s="7" t="s">
        <v>1190</v>
      </c>
      <c r="G478" s="7" t="s">
        <v>1654</v>
      </c>
      <c r="H478" s="7" t="s">
        <v>1192</v>
      </c>
      <c r="I478" s="7" t="s">
        <v>1193</v>
      </c>
      <c r="J478" s="8" t="str">
        <f aca="false">HYPERLINK("https://www.freshworks.com/freshservice/","Official site")</f>
        <v>Official site</v>
      </c>
      <c r="K478" s="8" t="str">
        <f aca="false">HYPERLINK("https://www.freshworks.com/freshservice/","Evidence / lead")</f>
        <v>Evidence / lead</v>
      </c>
      <c r="L478" s="8" t="str">
        <f aca="false">HYPERLINK("https://www.freshworks.com/freshservice/","Language source")</f>
        <v>Language source</v>
      </c>
    </row>
    <row r="479" customFormat="false" ht="35.05" hidden="false" customHeight="false" outlineLevel="0" collapsed="false">
      <c r="A479" s="7" t="s">
        <v>1642</v>
      </c>
      <c r="B479" s="7" t="s">
        <v>1655</v>
      </c>
      <c r="C479" s="7" t="s">
        <v>17</v>
      </c>
      <c r="D479" s="7" t="s">
        <v>1656</v>
      </c>
      <c r="E479" s="7" t="s">
        <v>1657</v>
      </c>
      <c r="F479" s="7" t="s">
        <v>1190</v>
      </c>
      <c r="G479" s="7" t="s">
        <v>1658</v>
      </c>
      <c r="H479" s="7" t="s">
        <v>1192</v>
      </c>
      <c r="I479" s="7" t="s">
        <v>1193</v>
      </c>
      <c r="J479" s="8" t="str">
        <f aca="false">HYPERLINK("https://www.manageengine.com/products/service-desk/","Official site")</f>
        <v>Official site</v>
      </c>
      <c r="K479" s="8" t="str">
        <f aca="false">HYPERLINK("https://www.manageengine.com/products/service-desk/","Evidence / lead")</f>
        <v>Evidence / lead</v>
      </c>
      <c r="L479" s="8" t="str">
        <f aca="false">HYPERLINK("https://www.manageengine.com/products/service-desk/","Language source")</f>
        <v>Language source</v>
      </c>
    </row>
    <row r="480" customFormat="false" ht="35.05" hidden="false" customHeight="false" outlineLevel="0" collapsed="false">
      <c r="A480" s="7" t="s">
        <v>1642</v>
      </c>
      <c r="B480" s="7" t="s">
        <v>1659</v>
      </c>
      <c r="C480" s="7" t="s">
        <v>17</v>
      </c>
      <c r="D480" s="7" t="s">
        <v>1660</v>
      </c>
      <c r="E480" s="7" t="s">
        <v>1661</v>
      </c>
      <c r="F480" s="7" t="s">
        <v>1190</v>
      </c>
      <c r="G480" s="7" t="s">
        <v>1423</v>
      </c>
      <c r="H480" s="7" t="s">
        <v>1192</v>
      </c>
      <c r="I480" s="7" t="s">
        <v>1193</v>
      </c>
      <c r="J480" s="8" t="str">
        <f aca="false">HYPERLINK("https://www.itglue.com/","Official site")</f>
        <v>Official site</v>
      </c>
      <c r="K480" s="8" t="str">
        <f aca="false">HYPERLINK("https://www.itglue.com/","Evidence / lead")</f>
        <v>Evidence / lead</v>
      </c>
      <c r="L480" s="8" t="str">
        <f aca="false">HYPERLINK("https://www.itglue.com/","Language source")</f>
        <v>Language source</v>
      </c>
    </row>
    <row r="481" customFormat="false" ht="23.85" hidden="false" customHeight="false" outlineLevel="0" collapsed="false">
      <c r="A481" s="7" t="s">
        <v>1642</v>
      </c>
      <c r="B481" s="7" t="s">
        <v>1662</v>
      </c>
      <c r="C481" s="7" t="s">
        <v>48</v>
      </c>
      <c r="D481" s="7" t="s">
        <v>1663</v>
      </c>
      <c r="E481" s="7" t="s">
        <v>1664</v>
      </c>
      <c r="F481" s="7" t="s">
        <v>1263</v>
      </c>
      <c r="G481" s="7" t="s">
        <v>1665</v>
      </c>
      <c r="H481" s="7" t="s">
        <v>1203</v>
      </c>
      <c r="I481" s="7" t="s">
        <v>1193</v>
      </c>
      <c r="J481" s="8" t="str">
        <f aca="false">HYPERLINK("https://glpi-project.org/","Official site")</f>
        <v>Official site</v>
      </c>
      <c r="K481" s="8" t="str">
        <f aca="false">HYPERLINK("https://github.com/glpi-project/glpi","Evidence / lead")</f>
        <v>Evidence / lead</v>
      </c>
      <c r="L481" s="8" t="str">
        <f aca="false">HYPERLINK("https://github.com/glpi-project/glpi","Language source")</f>
        <v>Language source</v>
      </c>
    </row>
    <row r="482" customFormat="false" ht="23.85" hidden="false" customHeight="false" outlineLevel="0" collapsed="false">
      <c r="A482" s="7" t="s">
        <v>1642</v>
      </c>
      <c r="B482" s="7" t="s">
        <v>1666</v>
      </c>
      <c r="C482" s="7" t="s">
        <v>48</v>
      </c>
      <c r="D482" s="7" t="s">
        <v>1667</v>
      </c>
      <c r="E482" s="7" t="s">
        <v>1668</v>
      </c>
      <c r="F482" s="7" t="s">
        <v>1434</v>
      </c>
      <c r="G482" s="7" t="s">
        <v>1423</v>
      </c>
      <c r="H482" s="7" t="s">
        <v>1203</v>
      </c>
      <c r="I482" s="7" t="s">
        <v>1193</v>
      </c>
      <c r="J482" s="8" t="str">
        <f aca="false">HYPERLINK("https://zammad.org/","Official site")</f>
        <v>Official site</v>
      </c>
      <c r="K482" s="8" t="str">
        <f aca="false">HYPERLINK("https://github.com/zammad/zammad","Evidence / lead")</f>
        <v>Evidence / lead</v>
      </c>
      <c r="L482" s="8" t="str">
        <f aca="false">HYPERLINK("https://github.com/zammad/zammad","Language source")</f>
        <v>Language source</v>
      </c>
    </row>
    <row r="483" customFormat="false" ht="23.85" hidden="false" customHeight="false" outlineLevel="0" collapsed="false">
      <c r="A483" s="7" t="s">
        <v>1642</v>
      </c>
      <c r="B483" s="7" t="s">
        <v>1669</v>
      </c>
      <c r="C483" s="7" t="s">
        <v>48</v>
      </c>
      <c r="D483" s="7" t="s">
        <v>1670</v>
      </c>
      <c r="E483" s="7" t="s">
        <v>1671</v>
      </c>
      <c r="F483" s="7" t="s">
        <v>1672</v>
      </c>
      <c r="G483" s="7" t="s">
        <v>1423</v>
      </c>
      <c r="H483" s="7" t="s">
        <v>1203</v>
      </c>
      <c r="I483" s="7" t="s">
        <v>1193</v>
      </c>
      <c r="J483" s="8" t="str">
        <f aca="false">HYPERLINK("https://snipeitapp.com/","Official site")</f>
        <v>Official site</v>
      </c>
      <c r="K483" s="8" t="str">
        <f aca="false">HYPERLINK("https://github.com/snipe/snipe-it","Evidence / lead")</f>
        <v>Evidence / lead</v>
      </c>
      <c r="L483" s="8" t="str">
        <f aca="false">HYPERLINK("https://github.com/snipe/snipe-it","Language source")</f>
        <v>Language source</v>
      </c>
    </row>
    <row r="484" customFormat="false" ht="23.85" hidden="false" customHeight="false" outlineLevel="0" collapsed="false">
      <c r="A484" s="7" t="s">
        <v>1642</v>
      </c>
      <c r="B484" s="7" t="s">
        <v>1673</v>
      </c>
      <c r="C484" s="7" t="s">
        <v>48</v>
      </c>
      <c r="D484" s="7" t="s">
        <v>1674</v>
      </c>
      <c r="E484" s="7" t="s">
        <v>1675</v>
      </c>
      <c r="F484" s="7" t="s">
        <v>1263</v>
      </c>
      <c r="G484" s="7" t="s">
        <v>1676</v>
      </c>
      <c r="H484" s="7" t="s">
        <v>1203</v>
      </c>
      <c r="I484" s="7" t="s">
        <v>1193</v>
      </c>
      <c r="J484" s="8" t="str">
        <f aca="false">HYPERLINK("https://www.combodo.com/itop","Official site")</f>
        <v>Official site</v>
      </c>
      <c r="K484" s="8" t="str">
        <f aca="false">HYPERLINK("https://github.com/Combodo/iTop","Evidence / lead")</f>
        <v>Evidence / lead</v>
      </c>
      <c r="L484" s="8" t="str">
        <f aca="false">HYPERLINK("https://github.com/Combodo/iTop","Language source")</f>
        <v>Language source</v>
      </c>
    </row>
    <row r="485" customFormat="false" ht="23.85" hidden="false" customHeight="false" outlineLevel="0" collapsed="false">
      <c r="A485" s="7" t="s">
        <v>1642</v>
      </c>
      <c r="B485" s="7" t="s">
        <v>1677</v>
      </c>
      <c r="C485" s="7" t="s">
        <v>48</v>
      </c>
      <c r="D485" s="7" t="s">
        <v>1678</v>
      </c>
      <c r="E485" s="7" t="s">
        <v>1679</v>
      </c>
      <c r="F485" s="7" t="s">
        <v>1680</v>
      </c>
      <c r="G485" s="7" t="s">
        <v>1681</v>
      </c>
      <c r="H485" s="7" t="s">
        <v>1203</v>
      </c>
      <c r="I485" s="7" t="s">
        <v>1193</v>
      </c>
      <c r="J485" s="8" t="str">
        <f aca="false">HYPERLINK("https://bestpractical.com/request-tracker","Official site")</f>
        <v>Official site</v>
      </c>
      <c r="K485" s="8" t="str">
        <f aca="false">HYPERLINK("https://github.com/bestpractical/rt","Evidence / lead")</f>
        <v>Evidence / lead</v>
      </c>
      <c r="L485" s="8" t="str">
        <f aca="false">HYPERLINK("https://github.com/bestpractical/rt","Language source")</f>
        <v>Language source</v>
      </c>
    </row>
  </sheetData>
  <autoFilter ref="A5:L48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8"/>
    <col collapsed="false" customWidth="true" hidden="false" outlineLevel="0" max="3" min="3" style="0" width="30"/>
    <col collapsed="false" customWidth="true" hidden="false" outlineLevel="0" max="4" min="4" style="0" width="40"/>
    <col collapsed="false" customWidth="true" hidden="false" outlineLevel="0" max="7" min="5" style="0" width="44"/>
    <col collapsed="false" customWidth="true" hidden="false" outlineLevel="0" max="8" min="8" style="0" width="36"/>
    <col collapsed="false" customWidth="true" hidden="false" outlineLevel="0" max="9" min="9" style="0" width="44"/>
    <col collapsed="false" customWidth="true" hidden="false" outlineLevel="0" max="10" min="10" style="0" width="40"/>
    <col collapsed="false" customWidth="true" hidden="false" outlineLevel="0" max="11" min="11" style="0" width="9"/>
  </cols>
  <sheetData>
    <row r="1" customFormat="false" ht="17.35" hidden="false" customHeight="false" outlineLevel="0" collapsed="false">
      <c r="A1" s="1" t="s">
        <v>1682</v>
      </c>
    </row>
    <row r="3" customFormat="false" ht="15" hidden="false" customHeight="false" outlineLevel="0" collapsed="false">
      <c r="A3" s="2" t="s">
        <v>1683</v>
      </c>
      <c r="B3" s="2" t="n">
        <f aca="false">COUNTA(A6:A153)</f>
        <v>48</v>
      </c>
      <c r="D3" s="3" t="s">
        <v>1684</v>
      </c>
    </row>
    <row r="5" customFormat="false" ht="15" hidden="false" customHeight="false" outlineLevel="0" collapsed="false">
      <c r="A5" s="4" t="s">
        <v>3</v>
      </c>
      <c r="B5" s="4" t="s">
        <v>1685</v>
      </c>
      <c r="C5" s="4" t="s">
        <v>1686</v>
      </c>
      <c r="D5" s="4" t="s">
        <v>1687</v>
      </c>
      <c r="E5" s="4" t="s">
        <v>1688</v>
      </c>
      <c r="F5" s="4" t="s">
        <v>1689</v>
      </c>
      <c r="G5" s="4" t="s">
        <v>1690</v>
      </c>
      <c r="H5" s="4" t="s">
        <v>1691</v>
      </c>
      <c r="I5" s="4" t="s">
        <v>1692</v>
      </c>
      <c r="J5" s="4" t="s">
        <v>1693</v>
      </c>
      <c r="K5" s="4" t="s">
        <v>1</v>
      </c>
    </row>
    <row r="6" customFormat="false" ht="57.45" hidden="false" customHeight="false" outlineLevel="0" collapsed="false">
      <c r="A6" s="5" t="s">
        <v>15</v>
      </c>
      <c r="B6" s="5" t="s">
        <v>1694</v>
      </c>
      <c r="C6" s="5" t="s">
        <v>1695</v>
      </c>
      <c r="D6" s="5" t="s">
        <v>1696</v>
      </c>
      <c r="E6" s="5" t="s">
        <v>1697</v>
      </c>
      <c r="F6" s="5" t="s">
        <v>1698</v>
      </c>
      <c r="G6" s="5" t="s">
        <v>1699</v>
      </c>
      <c r="H6" s="5" t="s">
        <v>1700</v>
      </c>
      <c r="I6" s="5" t="s">
        <v>1701</v>
      </c>
      <c r="J6" s="5" t="s">
        <v>1702</v>
      </c>
      <c r="K6" s="5" t="n">
        <f aca="false">COUNTIF(Catalogue!$A:$A,A6)</f>
        <v>10</v>
      </c>
    </row>
    <row r="7" customFormat="false" ht="46.25" hidden="false" customHeight="false" outlineLevel="0" collapsed="false">
      <c r="A7" s="5" t="s">
        <v>60</v>
      </c>
      <c r="B7" s="5" t="s">
        <v>1694</v>
      </c>
      <c r="C7" s="5" t="s">
        <v>1703</v>
      </c>
      <c r="D7" s="5" t="s">
        <v>1704</v>
      </c>
      <c r="E7" s="5" t="s">
        <v>1705</v>
      </c>
      <c r="F7" s="5" t="s">
        <v>1706</v>
      </c>
      <c r="G7" s="5" t="s">
        <v>1707</v>
      </c>
      <c r="H7" s="5" t="s">
        <v>1708</v>
      </c>
      <c r="I7" s="5" t="s">
        <v>1709</v>
      </c>
      <c r="J7" s="5" t="s">
        <v>1710</v>
      </c>
      <c r="K7" s="5" t="n">
        <f aca="false">COUNTIF(Catalogue!$A:$A,A7)</f>
        <v>10</v>
      </c>
    </row>
    <row r="8" customFormat="false" ht="46.25" hidden="false" customHeight="false" outlineLevel="0" collapsed="false">
      <c r="A8" s="5" t="s">
        <v>91</v>
      </c>
      <c r="B8" s="5" t="s">
        <v>1694</v>
      </c>
      <c r="C8" s="5" t="s">
        <v>1711</v>
      </c>
      <c r="D8" s="5" t="s">
        <v>1712</v>
      </c>
      <c r="E8" s="5" t="s">
        <v>1713</v>
      </c>
      <c r="F8" s="5" t="s">
        <v>1714</v>
      </c>
      <c r="G8" s="5" t="s">
        <v>1715</v>
      </c>
      <c r="H8" s="5" t="s">
        <v>1716</v>
      </c>
      <c r="I8" s="5" t="s">
        <v>1717</v>
      </c>
      <c r="J8" s="5" t="s">
        <v>1718</v>
      </c>
      <c r="K8" s="5" t="n">
        <f aca="false">COUNTIF(Catalogue!$A:$A,A8)</f>
        <v>10</v>
      </c>
    </row>
    <row r="9" customFormat="false" ht="46.25" hidden="false" customHeight="false" outlineLevel="0" collapsed="false">
      <c r="A9" s="5" t="s">
        <v>129</v>
      </c>
      <c r="B9" s="5" t="s">
        <v>1694</v>
      </c>
      <c r="C9" s="5" t="s">
        <v>1719</v>
      </c>
      <c r="D9" s="5" t="s">
        <v>1720</v>
      </c>
      <c r="E9" s="5" t="s">
        <v>1721</v>
      </c>
      <c r="F9" s="5" t="s">
        <v>1722</v>
      </c>
      <c r="G9" s="5" t="s">
        <v>1723</v>
      </c>
      <c r="H9" s="5" t="s">
        <v>1724</v>
      </c>
      <c r="I9" s="5" t="s">
        <v>1725</v>
      </c>
      <c r="J9" s="5" t="s">
        <v>1726</v>
      </c>
      <c r="K9" s="5" t="n">
        <f aca="false">COUNTIF(Catalogue!$A:$A,A9)</f>
        <v>10</v>
      </c>
    </row>
    <row r="10" customFormat="false" ht="46.25" hidden="false" customHeight="false" outlineLevel="0" collapsed="false">
      <c r="A10" s="5" t="s">
        <v>169</v>
      </c>
      <c r="B10" s="5" t="s">
        <v>1694</v>
      </c>
      <c r="C10" s="5" t="s">
        <v>1727</v>
      </c>
      <c r="D10" s="5" t="s">
        <v>1728</v>
      </c>
      <c r="E10" s="5" t="s">
        <v>1729</v>
      </c>
      <c r="F10" s="5" t="s">
        <v>1730</v>
      </c>
      <c r="G10" s="5" t="s">
        <v>1731</v>
      </c>
      <c r="H10" s="5" t="s">
        <v>1732</v>
      </c>
      <c r="I10" s="5" t="s">
        <v>1733</v>
      </c>
      <c r="J10" s="5" t="s">
        <v>1734</v>
      </c>
      <c r="K10" s="5" t="n">
        <f aca="false">COUNTIF(Catalogue!$A:$A,A10)</f>
        <v>10</v>
      </c>
    </row>
    <row r="11" customFormat="false" ht="46.25" hidden="false" customHeight="false" outlineLevel="0" collapsed="false">
      <c r="A11" s="5" t="s">
        <v>201</v>
      </c>
      <c r="B11" s="5" t="s">
        <v>1694</v>
      </c>
      <c r="C11" s="5" t="s">
        <v>1735</v>
      </c>
      <c r="D11" s="5" t="s">
        <v>1736</v>
      </c>
      <c r="E11" s="5" t="s">
        <v>1737</v>
      </c>
      <c r="F11" s="5" t="s">
        <v>1738</v>
      </c>
      <c r="G11" s="5" t="s">
        <v>1739</v>
      </c>
      <c r="H11" s="5" t="s">
        <v>1740</v>
      </c>
      <c r="I11" s="5" t="s">
        <v>1741</v>
      </c>
      <c r="J11" s="5" t="s">
        <v>1742</v>
      </c>
      <c r="K11" s="5" t="n">
        <f aca="false">COUNTIF(Catalogue!$A:$A,A11)</f>
        <v>10</v>
      </c>
    </row>
    <row r="12" customFormat="false" ht="35.05" hidden="false" customHeight="false" outlineLevel="0" collapsed="false">
      <c r="A12" s="5" t="s">
        <v>238</v>
      </c>
      <c r="B12" s="5" t="s">
        <v>1694</v>
      </c>
      <c r="C12" s="5" t="s">
        <v>1743</v>
      </c>
      <c r="D12" s="5" t="s">
        <v>1744</v>
      </c>
      <c r="E12" s="5" t="s">
        <v>1745</v>
      </c>
      <c r="F12" s="5" t="s">
        <v>1746</v>
      </c>
      <c r="G12" s="5" t="s">
        <v>1747</v>
      </c>
      <c r="H12" s="5" t="s">
        <v>1748</v>
      </c>
      <c r="I12" s="5" t="s">
        <v>1749</v>
      </c>
      <c r="J12" s="5" t="s">
        <v>1750</v>
      </c>
      <c r="K12" s="5" t="n">
        <f aca="false">COUNTIF(Catalogue!$A:$A,A12)</f>
        <v>10</v>
      </c>
    </row>
    <row r="13" customFormat="false" ht="35.05" hidden="false" customHeight="false" outlineLevel="0" collapsed="false">
      <c r="A13" s="5" t="s">
        <v>271</v>
      </c>
      <c r="B13" s="5" t="s">
        <v>1694</v>
      </c>
      <c r="C13" s="5" t="s">
        <v>1751</v>
      </c>
      <c r="D13" s="5" t="s">
        <v>1752</v>
      </c>
      <c r="E13" s="5" t="s">
        <v>1753</v>
      </c>
      <c r="F13" s="5" t="s">
        <v>1754</v>
      </c>
      <c r="G13" s="5" t="s">
        <v>1755</v>
      </c>
      <c r="H13" s="5" t="s">
        <v>1756</v>
      </c>
      <c r="I13" s="5" t="s">
        <v>1757</v>
      </c>
      <c r="J13" s="5" t="s">
        <v>1758</v>
      </c>
      <c r="K13" s="5" t="n">
        <f aca="false">COUNTIF(Catalogue!$A:$A,A13)</f>
        <v>10</v>
      </c>
    </row>
    <row r="14" customFormat="false" ht="46.25" hidden="false" customHeight="false" outlineLevel="0" collapsed="false">
      <c r="A14" s="5" t="s">
        <v>305</v>
      </c>
      <c r="B14" s="5" t="s">
        <v>1759</v>
      </c>
      <c r="C14" s="5" t="s">
        <v>1760</v>
      </c>
      <c r="D14" s="5" t="s">
        <v>1761</v>
      </c>
      <c r="E14" s="5" t="s">
        <v>1762</v>
      </c>
      <c r="F14" s="5" t="s">
        <v>1763</v>
      </c>
      <c r="G14" s="5" t="s">
        <v>1764</v>
      </c>
      <c r="H14" s="5" t="s">
        <v>1765</v>
      </c>
      <c r="I14" s="5" t="s">
        <v>1766</v>
      </c>
      <c r="J14" s="5" t="s">
        <v>1767</v>
      </c>
      <c r="K14" s="5" t="n">
        <f aca="false">COUNTIF(Catalogue!$A:$A,A14)</f>
        <v>10</v>
      </c>
    </row>
    <row r="15" customFormat="false" ht="35.05" hidden="false" customHeight="false" outlineLevel="0" collapsed="false">
      <c r="A15" s="5" t="s">
        <v>337</v>
      </c>
      <c r="B15" s="5" t="s">
        <v>1759</v>
      </c>
      <c r="C15" s="5" t="s">
        <v>1768</v>
      </c>
      <c r="D15" s="5" t="s">
        <v>1769</v>
      </c>
      <c r="E15" s="5" t="s">
        <v>1770</v>
      </c>
      <c r="F15" s="5" t="s">
        <v>1771</v>
      </c>
      <c r="G15" s="5" t="s">
        <v>1772</v>
      </c>
      <c r="H15" s="5" t="s">
        <v>1773</v>
      </c>
      <c r="I15" s="5" t="s">
        <v>1774</v>
      </c>
      <c r="J15" s="5" t="s">
        <v>1775</v>
      </c>
      <c r="K15" s="5" t="n">
        <f aca="false">COUNTIF(Catalogue!$A:$A,A15)</f>
        <v>10</v>
      </c>
    </row>
    <row r="16" customFormat="false" ht="35.05" hidden="false" customHeight="false" outlineLevel="0" collapsed="false">
      <c r="A16" s="5" t="s">
        <v>371</v>
      </c>
      <c r="B16" s="5" t="s">
        <v>1759</v>
      </c>
      <c r="C16" s="5" t="s">
        <v>1776</v>
      </c>
      <c r="D16" s="5" t="s">
        <v>1777</v>
      </c>
      <c r="E16" s="5" t="s">
        <v>1778</v>
      </c>
      <c r="F16" s="5" t="s">
        <v>1779</v>
      </c>
      <c r="G16" s="5" t="s">
        <v>1780</v>
      </c>
      <c r="H16" s="5" t="s">
        <v>1781</v>
      </c>
      <c r="I16" s="5" t="s">
        <v>1782</v>
      </c>
      <c r="J16" s="5" t="s">
        <v>1783</v>
      </c>
      <c r="K16" s="5" t="n">
        <f aca="false">COUNTIF(Catalogue!$A:$A,A16)</f>
        <v>10</v>
      </c>
    </row>
    <row r="17" customFormat="false" ht="46.25" hidden="false" customHeight="false" outlineLevel="0" collapsed="false">
      <c r="A17" s="5" t="s">
        <v>402</v>
      </c>
      <c r="B17" s="5" t="s">
        <v>1759</v>
      </c>
      <c r="C17" s="5" t="s">
        <v>1784</v>
      </c>
      <c r="D17" s="5" t="s">
        <v>1785</v>
      </c>
      <c r="E17" s="5" t="s">
        <v>1786</v>
      </c>
      <c r="F17" s="5" t="s">
        <v>1787</v>
      </c>
      <c r="G17" s="5" t="s">
        <v>1788</v>
      </c>
      <c r="H17" s="5" t="s">
        <v>1789</v>
      </c>
      <c r="I17" s="5" t="s">
        <v>1790</v>
      </c>
      <c r="J17" s="5" t="s">
        <v>1791</v>
      </c>
      <c r="K17" s="5" t="n">
        <f aca="false">COUNTIF(Catalogue!$A:$A,A17)</f>
        <v>10</v>
      </c>
    </row>
    <row r="18" customFormat="false" ht="46.25" hidden="false" customHeight="false" outlineLevel="0" collapsed="false">
      <c r="A18" s="5" t="s">
        <v>432</v>
      </c>
      <c r="B18" s="5" t="s">
        <v>1759</v>
      </c>
      <c r="C18" s="5" t="s">
        <v>1792</v>
      </c>
      <c r="D18" s="5" t="s">
        <v>1793</v>
      </c>
      <c r="E18" s="5" t="s">
        <v>1794</v>
      </c>
      <c r="F18" s="5" t="s">
        <v>1795</v>
      </c>
      <c r="G18" s="5" t="s">
        <v>1796</v>
      </c>
      <c r="H18" s="5" t="s">
        <v>1797</v>
      </c>
      <c r="I18" s="5" t="s">
        <v>1798</v>
      </c>
      <c r="J18" s="5" t="s">
        <v>1799</v>
      </c>
      <c r="K18" s="5" t="n">
        <f aca="false">COUNTIF(Catalogue!$A:$A,A18)</f>
        <v>10</v>
      </c>
    </row>
    <row r="19" customFormat="false" ht="35.05" hidden="false" customHeight="false" outlineLevel="0" collapsed="false">
      <c r="A19" s="5" t="s">
        <v>463</v>
      </c>
      <c r="B19" s="5" t="s">
        <v>1759</v>
      </c>
      <c r="C19" s="5" t="s">
        <v>1800</v>
      </c>
      <c r="D19" s="5" t="s">
        <v>1801</v>
      </c>
      <c r="E19" s="5" t="s">
        <v>1802</v>
      </c>
      <c r="F19" s="5" t="s">
        <v>1803</v>
      </c>
      <c r="G19" s="5" t="s">
        <v>1804</v>
      </c>
      <c r="H19" s="5" t="s">
        <v>1805</v>
      </c>
      <c r="I19" s="5" t="s">
        <v>1806</v>
      </c>
      <c r="J19" s="5" t="s">
        <v>1807</v>
      </c>
      <c r="K19" s="5" t="n">
        <f aca="false">COUNTIF(Catalogue!$A:$A,A19)</f>
        <v>10</v>
      </c>
    </row>
    <row r="20" customFormat="false" ht="35.05" hidden="false" customHeight="false" outlineLevel="0" collapsed="false">
      <c r="A20" s="5" t="s">
        <v>497</v>
      </c>
      <c r="B20" s="5" t="s">
        <v>1759</v>
      </c>
      <c r="C20" s="5" t="s">
        <v>1808</v>
      </c>
      <c r="D20" s="5" t="s">
        <v>1809</v>
      </c>
      <c r="E20" s="5" t="s">
        <v>1810</v>
      </c>
      <c r="F20" s="5" t="s">
        <v>1811</v>
      </c>
      <c r="G20" s="5" t="s">
        <v>1812</v>
      </c>
      <c r="H20" s="5" t="s">
        <v>1813</v>
      </c>
      <c r="I20" s="5" t="s">
        <v>1814</v>
      </c>
      <c r="J20" s="5" t="s">
        <v>1815</v>
      </c>
      <c r="K20" s="5" t="n">
        <f aca="false">COUNTIF(Catalogue!$A:$A,A20)</f>
        <v>10</v>
      </c>
    </row>
    <row r="21" customFormat="false" ht="46.25" hidden="false" customHeight="false" outlineLevel="0" collapsed="false">
      <c r="A21" s="5" t="s">
        <v>528</v>
      </c>
      <c r="B21" s="5" t="s">
        <v>1759</v>
      </c>
      <c r="C21" s="5" t="s">
        <v>1816</v>
      </c>
      <c r="D21" s="5" t="s">
        <v>1817</v>
      </c>
      <c r="E21" s="5" t="s">
        <v>1818</v>
      </c>
      <c r="F21" s="5" t="s">
        <v>1819</v>
      </c>
      <c r="G21" s="5" t="s">
        <v>1820</v>
      </c>
      <c r="H21" s="5" t="s">
        <v>1821</v>
      </c>
      <c r="I21" s="5" t="s">
        <v>1822</v>
      </c>
      <c r="J21" s="5" t="s">
        <v>1823</v>
      </c>
      <c r="K21" s="5" t="n">
        <f aca="false">COUNTIF(Catalogue!$A:$A,A21)</f>
        <v>10</v>
      </c>
    </row>
    <row r="22" customFormat="false" ht="35.05" hidden="false" customHeight="false" outlineLevel="0" collapsed="false">
      <c r="A22" s="5" t="s">
        <v>559</v>
      </c>
      <c r="B22" s="5" t="s">
        <v>1824</v>
      </c>
      <c r="C22" s="5" t="s">
        <v>1825</v>
      </c>
      <c r="D22" s="5" t="s">
        <v>1826</v>
      </c>
      <c r="E22" s="5" t="s">
        <v>1827</v>
      </c>
      <c r="F22" s="5" t="s">
        <v>1828</v>
      </c>
      <c r="G22" s="5" t="s">
        <v>1829</v>
      </c>
      <c r="H22" s="5" t="s">
        <v>1830</v>
      </c>
      <c r="I22" s="5" t="s">
        <v>1831</v>
      </c>
      <c r="J22" s="5" t="s">
        <v>1832</v>
      </c>
      <c r="K22" s="5" t="n">
        <f aca="false">COUNTIF(Catalogue!$A:$A,A22)</f>
        <v>10</v>
      </c>
    </row>
    <row r="23" customFormat="false" ht="46.25" hidden="false" customHeight="false" outlineLevel="0" collapsed="false">
      <c r="A23" s="5" t="s">
        <v>591</v>
      </c>
      <c r="B23" s="5" t="s">
        <v>1824</v>
      </c>
      <c r="C23" s="5" t="s">
        <v>1833</v>
      </c>
      <c r="D23" s="5" t="s">
        <v>1834</v>
      </c>
      <c r="E23" s="5" t="s">
        <v>1835</v>
      </c>
      <c r="F23" s="5" t="s">
        <v>1836</v>
      </c>
      <c r="G23" s="5" t="s">
        <v>1837</v>
      </c>
      <c r="H23" s="5" t="s">
        <v>1838</v>
      </c>
      <c r="I23" s="5" t="s">
        <v>1839</v>
      </c>
      <c r="J23" s="5" t="s">
        <v>1840</v>
      </c>
      <c r="K23" s="5" t="n">
        <f aca="false">COUNTIF(Catalogue!$A:$A,A23)</f>
        <v>10</v>
      </c>
    </row>
    <row r="24" customFormat="false" ht="46.25" hidden="false" customHeight="false" outlineLevel="0" collapsed="false">
      <c r="A24" s="5" t="s">
        <v>625</v>
      </c>
      <c r="B24" s="5" t="s">
        <v>1824</v>
      </c>
      <c r="C24" s="5" t="s">
        <v>1841</v>
      </c>
      <c r="D24" s="5" t="s">
        <v>1842</v>
      </c>
      <c r="E24" s="5" t="s">
        <v>1843</v>
      </c>
      <c r="F24" s="5" t="s">
        <v>1844</v>
      </c>
      <c r="G24" s="5" t="s">
        <v>1845</v>
      </c>
      <c r="H24" s="5" t="s">
        <v>1846</v>
      </c>
      <c r="I24" s="5" t="s">
        <v>1847</v>
      </c>
      <c r="J24" s="5" t="s">
        <v>1848</v>
      </c>
      <c r="K24" s="5" t="n">
        <f aca="false">COUNTIF(Catalogue!$A:$A,A24)</f>
        <v>10</v>
      </c>
    </row>
    <row r="25" customFormat="false" ht="46.25" hidden="false" customHeight="false" outlineLevel="0" collapsed="false">
      <c r="A25" s="5" t="s">
        <v>661</v>
      </c>
      <c r="B25" s="5" t="s">
        <v>1824</v>
      </c>
      <c r="C25" s="5" t="s">
        <v>1849</v>
      </c>
      <c r="D25" s="5" t="s">
        <v>1850</v>
      </c>
      <c r="E25" s="5" t="s">
        <v>1851</v>
      </c>
      <c r="F25" s="5" t="s">
        <v>1852</v>
      </c>
      <c r="G25" s="5" t="s">
        <v>1853</v>
      </c>
      <c r="H25" s="5" t="s">
        <v>1854</v>
      </c>
      <c r="I25" s="5" t="s">
        <v>1855</v>
      </c>
      <c r="J25" s="5" t="s">
        <v>1856</v>
      </c>
      <c r="K25" s="5" t="n">
        <f aca="false">COUNTIF(Catalogue!$A:$A,A25)</f>
        <v>10</v>
      </c>
    </row>
    <row r="26" customFormat="false" ht="46.25" hidden="false" customHeight="false" outlineLevel="0" collapsed="false">
      <c r="A26" s="5" t="s">
        <v>695</v>
      </c>
      <c r="B26" s="5" t="s">
        <v>1824</v>
      </c>
      <c r="C26" s="5" t="s">
        <v>1857</v>
      </c>
      <c r="D26" s="5" t="s">
        <v>1858</v>
      </c>
      <c r="E26" s="5" t="s">
        <v>1859</v>
      </c>
      <c r="F26" s="5" t="s">
        <v>1860</v>
      </c>
      <c r="G26" s="5" t="s">
        <v>1861</v>
      </c>
      <c r="H26" s="5" t="s">
        <v>1862</v>
      </c>
      <c r="I26" s="5" t="s">
        <v>1863</v>
      </c>
      <c r="J26" s="5" t="s">
        <v>1864</v>
      </c>
      <c r="K26" s="5" t="n">
        <f aca="false">COUNTIF(Catalogue!$A:$A,A26)</f>
        <v>10</v>
      </c>
    </row>
    <row r="27" customFormat="false" ht="46.25" hidden="false" customHeight="false" outlineLevel="0" collapsed="false">
      <c r="A27" s="5" t="s">
        <v>727</v>
      </c>
      <c r="B27" s="5" t="s">
        <v>1824</v>
      </c>
      <c r="C27" s="5" t="s">
        <v>1865</v>
      </c>
      <c r="D27" s="5" t="s">
        <v>1866</v>
      </c>
      <c r="E27" s="5" t="s">
        <v>1867</v>
      </c>
      <c r="F27" s="5" t="s">
        <v>1868</v>
      </c>
      <c r="G27" s="5" t="s">
        <v>1869</v>
      </c>
      <c r="H27" s="5" t="s">
        <v>1870</v>
      </c>
      <c r="I27" s="5" t="s">
        <v>1871</v>
      </c>
      <c r="J27" s="5" t="s">
        <v>1872</v>
      </c>
      <c r="K27" s="5" t="n">
        <f aca="false">COUNTIF(Catalogue!$A:$A,A27)</f>
        <v>10</v>
      </c>
    </row>
    <row r="28" customFormat="false" ht="46.25" hidden="false" customHeight="false" outlineLevel="0" collapsed="false">
      <c r="A28" s="5" t="s">
        <v>758</v>
      </c>
      <c r="B28" s="5" t="s">
        <v>1824</v>
      </c>
      <c r="C28" s="5" t="s">
        <v>1873</v>
      </c>
      <c r="D28" s="5" t="s">
        <v>1874</v>
      </c>
      <c r="E28" s="5" t="s">
        <v>1875</v>
      </c>
      <c r="F28" s="5" t="s">
        <v>1876</v>
      </c>
      <c r="G28" s="5" t="s">
        <v>1877</v>
      </c>
      <c r="H28" s="5" t="s">
        <v>1878</v>
      </c>
      <c r="I28" s="5" t="s">
        <v>1879</v>
      </c>
      <c r="J28" s="5" t="s">
        <v>1880</v>
      </c>
      <c r="K28" s="5" t="n">
        <f aca="false">COUNTIF(Catalogue!$A:$A,A28)</f>
        <v>10</v>
      </c>
    </row>
    <row r="29" customFormat="false" ht="35.05" hidden="false" customHeight="false" outlineLevel="0" collapsed="false">
      <c r="A29" s="5" t="s">
        <v>791</v>
      </c>
      <c r="B29" s="5" t="s">
        <v>1824</v>
      </c>
      <c r="C29" s="5" t="s">
        <v>1881</v>
      </c>
      <c r="D29" s="5" t="s">
        <v>1882</v>
      </c>
      <c r="E29" s="5" t="s">
        <v>1883</v>
      </c>
      <c r="F29" s="5" t="s">
        <v>1884</v>
      </c>
      <c r="G29" s="5" t="s">
        <v>1885</v>
      </c>
      <c r="H29" s="5" t="s">
        <v>1886</v>
      </c>
      <c r="I29" s="5" t="s">
        <v>1887</v>
      </c>
      <c r="J29" s="5" t="s">
        <v>1888</v>
      </c>
      <c r="K29" s="5" t="n">
        <f aca="false">COUNTIF(Catalogue!$A:$A,A29)</f>
        <v>10</v>
      </c>
    </row>
    <row r="30" customFormat="false" ht="35.05" hidden="false" customHeight="false" outlineLevel="0" collapsed="false">
      <c r="A30" s="5" t="s">
        <v>821</v>
      </c>
      <c r="B30" s="5" t="s">
        <v>1889</v>
      </c>
      <c r="C30" s="5" t="s">
        <v>1890</v>
      </c>
      <c r="D30" s="5" t="s">
        <v>1891</v>
      </c>
      <c r="E30" s="5" t="s">
        <v>1892</v>
      </c>
      <c r="F30" s="5" t="s">
        <v>1893</v>
      </c>
      <c r="G30" s="5" t="s">
        <v>1894</v>
      </c>
      <c r="H30" s="5" t="s">
        <v>1895</v>
      </c>
      <c r="I30" s="5" t="s">
        <v>1896</v>
      </c>
      <c r="J30" s="5" t="s">
        <v>1897</v>
      </c>
      <c r="K30" s="5" t="n">
        <f aca="false">COUNTIF(Catalogue!$A:$A,A30)</f>
        <v>10</v>
      </c>
    </row>
    <row r="31" customFormat="false" ht="35.05" hidden="false" customHeight="false" outlineLevel="0" collapsed="false">
      <c r="A31" s="5" t="s">
        <v>852</v>
      </c>
      <c r="B31" s="5" t="s">
        <v>1889</v>
      </c>
      <c r="C31" s="5" t="s">
        <v>1898</v>
      </c>
      <c r="D31" s="5" t="s">
        <v>1899</v>
      </c>
      <c r="E31" s="5" t="s">
        <v>1900</v>
      </c>
      <c r="F31" s="5" t="s">
        <v>1901</v>
      </c>
      <c r="G31" s="5" t="s">
        <v>1902</v>
      </c>
      <c r="H31" s="5" t="s">
        <v>1903</v>
      </c>
      <c r="I31" s="5" t="s">
        <v>1904</v>
      </c>
      <c r="J31" s="5" t="s">
        <v>1905</v>
      </c>
      <c r="K31" s="5" t="n">
        <f aca="false">COUNTIF(Catalogue!$A:$A,A31)</f>
        <v>10</v>
      </c>
    </row>
    <row r="32" customFormat="false" ht="46.25" hidden="false" customHeight="false" outlineLevel="0" collapsed="false">
      <c r="A32" s="5" t="s">
        <v>879</v>
      </c>
      <c r="B32" s="5" t="s">
        <v>1889</v>
      </c>
      <c r="C32" s="5" t="s">
        <v>1906</v>
      </c>
      <c r="D32" s="5" t="s">
        <v>1907</v>
      </c>
      <c r="E32" s="5" t="s">
        <v>1908</v>
      </c>
      <c r="F32" s="5" t="s">
        <v>1909</v>
      </c>
      <c r="G32" s="5" t="s">
        <v>1910</v>
      </c>
      <c r="H32" s="5" t="s">
        <v>1911</v>
      </c>
      <c r="I32" s="5" t="s">
        <v>1912</v>
      </c>
      <c r="J32" s="5" t="s">
        <v>1913</v>
      </c>
      <c r="K32" s="5" t="n">
        <f aca="false">COUNTIF(Catalogue!$A:$A,A32)</f>
        <v>10</v>
      </c>
    </row>
    <row r="33" customFormat="false" ht="46.25" hidden="false" customHeight="false" outlineLevel="0" collapsed="false">
      <c r="A33" s="5" t="s">
        <v>909</v>
      </c>
      <c r="B33" s="5" t="s">
        <v>1889</v>
      </c>
      <c r="C33" s="5" t="s">
        <v>1914</v>
      </c>
      <c r="D33" s="5" t="s">
        <v>1915</v>
      </c>
      <c r="E33" s="5" t="s">
        <v>1916</v>
      </c>
      <c r="F33" s="5" t="s">
        <v>1917</v>
      </c>
      <c r="G33" s="5" t="s">
        <v>1918</v>
      </c>
      <c r="H33" s="5" t="s">
        <v>1919</v>
      </c>
      <c r="I33" s="5" t="s">
        <v>1920</v>
      </c>
      <c r="J33" s="5" t="s">
        <v>1921</v>
      </c>
      <c r="K33" s="5" t="n">
        <f aca="false">COUNTIF(Catalogue!$A:$A,A33)</f>
        <v>10</v>
      </c>
    </row>
    <row r="34" customFormat="false" ht="35.05" hidden="false" customHeight="false" outlineLevel="0" collapsed="false">
      <c r="A34" s="5" t="s">
        <v>940</v>
      </c>
      <c r="B34" s="5" t="s">
        <v>1889</v>
      </c>
      <c r="C34" s="5" t="s">
        <v>1922</v>
      </c>
      <c r="D34" s="5" t="s">
        <v>1923</v>
      </c>
      <c r="E34" s="5" t="s">
        <v>1924</v>
      </c>
      <c r="F34" s="5" t="s">
        <v>1925</v>
      </c>
      <c r="G34" s="5" t="s">
        <v>1926</v>
      </c>
      <c r="H34" s="5" t="s">
        <v>1927</v>
      </c>
      <c r="I34" s="5" t="s">
        <v>1928</v>
      </c>
      <c r="J34" s="5" t="s">
        <v>1929</v>
      </c>
      <c r="K34" s="5" t="n">
        <f aca="false">COUNTIF(Catalogue!$A:$A,A34)</f>
        <v>10</v>
      </c>
    </row>
    <row r="35" customFormat="false" ht="46.25" hidden="false" customHeight="false" outlineLevel="0" collapsed="false">
      <c r="A35" s="5" t="s">
        <v>971</v>
      </c>
      <c r="B35" s="5" t="s">
        <v>1889</v>
      </c>
      <c r="C35" s="5" t="s">
        <v>1930</v>
      </c>
      <c r="D35" s="5" t="s">
        <v>1931</v>
      </c>
      <c r="E35" s="5" t="s">
        <v>1932</v>
      </c>
      <c r="F35" s="5" t="s">
        <v>1933</v>
      </c>
      <c r="G35" s="5" t="s">
        <v>1934</v>
      </c>
      <c r="H35" s="5" t="s">
        <v>1935</v>
      </c>
      <c r="I35" s="5" t="s">
        <v>1936</v>
      </c>
      <c r="J35" s="5" t="s">
        <v>1937</v>
      </c>
      <c r="K35" s="5" t="n">
        <f aca="false">COUNTIF(Catalogue!$A:$A,A35)</f>
        <v>10</v>
      </c>
    </row>
    <row r="36" customFormat="false" ht="35.05" hidden="false" customHeight="false" outlineLevel="0" collapsed="false">
      <c r="A36" s="5" t="s">
        <v>1002</v>
      </c>
      <c r="B36" s="5" t="s">
        <v>1889</v>
      </c>
      <c r="C36" s="5" t="s">
        <v>1938</v>
      </c>
      <c r="D36" s="5" t="s">
        <v>1939</v>
      </c>
      <c r="E36" s="5" t="s">
        <v>1940</v>
      </c>
      <c r="F36" s="5" t="s">
        <v>1941</v>
      </c>
      <c r="G36" s="5" t="s">
        <v>1942</v>
      </c>
      <c r="H36" s="5" t="s">
        <v>1943</v>
      </c>
      <c r="I36" s="5" t="s">
        <v>1944</v>
      </c>
      <c r="J36" s="5" t="s">
        <v>1945</v>
      </c>
      <c r="K36" s="5" t="n">
        <f aca="false">COUNTIF(Catalogue!$A:$A,A36)</f>
        <v>10</v>
      </c>
    </row>
    <row r="37" customFormat="false" ht="35.05" hidden="false" customHeight="false" outlineLevel="0" collapsed="false">
      <c r="A37" s="5" t="s">
        <v>1033</v>
      </c>
      <c r="B37" s="5" t="s">
        <v>1889</v>
      </c>
      <c r="C37" s="5" t="s">
        <v>1946</v>
      </c>
      <c r="D37" s="5" t="s">
        <v>1947</v>
      </c>
      <c r="E37" s="5" t="s">
        <v>1948</v>
      </c>
      <c r="F37" s="5" t="s">
        <v>1949</v>
      </c>
      <c r="G37" s="5" t="s">
        <v>1950</v>
      </c>
      <c r="H37" s="5" t="s">
        <v>1951</v>
      </c>
      <c r="I37" s="5" t="s">
        <v>1952</v>
      </c>
      <c r="J37" s="5" t="s">
        <v>1953</v>
      </c>
      <c r="K37" s="5" t="n">
        <f aca="false">COUNTIF(Catalogue!$A:$A,A37)</f>
        <v>10</v>
      </c>
    </row>
    <row r="38" customFormat="false" ht="46.25" hidden="false" customHeight="false" outlineLevel="0" collapsed="false">
      <c r="A38" s="5" t="s">
        <v>1063</v>
      </c>
      <c r="B38" s="5" t="s">
        <v>1954</v>
      </c>
      <c r="C38" s="5" t="s">
        <v>1955</v>
      </c>
      <c r="D38" s="5" t="s">
        <v>1956</v>
      </c>
      <c r="E38" s="5" t="s">
        <v>1957</v>
      </c>
      <c r="F38" s="5" t="s">
        <v>1958</v>
      </c>
      <c r="G38" s="5" t="s">
        <v>1959</v>
      </c>
      <c r="H38" s="5" t="s">
        <v>1960</v>
      </c>
      <c r="I38" s="5" t="s">
        <v>1961</v>
      </c>
      <c r="J38" s="5" t="s">
        <v>1962</v>
      </c>
      <c r="K38" s="5" t="n">
        <f aca="false">COUNTIF(Catalogue!$A:$A,A38)</f>
        <v>10</v>
      </c>
    </row>
    <row r="39" customFormat="false" ht="46.25" hidden="false" customHeight="false" outlineLevel="0" collapsed="false">
      <c r="A39" s="5" t="s">
        <v>1097</v>
      </c>
      <c r="B39" s="5" t="s">
        <v>1954</v>
      </c>
      <c r="C39" s="5" t="s">
        <v>1963</v>
      </c>
      <c r="D39" s="5" t="s">
        <v>1964</v>
      </c>
      <c r="E39" s="5" t="s">
        <v>1965</v>
      </c>
      <c r="F39" s="5" t="s">
        <v>1966</v>
      </c>
      <c r="G39" s="5" t="s">
        <v>1967</v>
      </c>
      <c r="H39" s="5" t="s">
        <v>1968</v>
      </c>
      <c r="I39" s="5" t="s">
        <v>1969</v>
      </c>
      <c r="J39" s="5" t="s">
        <v>1970</v>
      </c>
      <c r="K39" s="5" t="n">
        <f aca="false">COUNTIF(Catalogue!$A:$A,A39)</f>
        <v>10</v>
      </c>
    </row>
    <row r="40" customFormat="false" ht="46.25" hidden="false" customHeight="false" outlineLevel="0" collapsed="false">
      <c r="A40" s="5" t="s">
        <v>1123</v>
      </c>
      <c r="B40" s="5" t="s">
        <v>1954</v>
      </c>
      <c r="C40" s="5" t="s">
        <v>1971</v>
      </c>
      <c r="D40" s="5" t="s">
        <v>1972</v>
      </c>
      <c r="E40" s="5" t="s">
        <v>1973</v>
      </c>
      <c r="F40" s="5" t="s">
        <v>1974</v>
      </c>
      <c r="G40" s="5" t="s">
        <v>1975</v>
      </c>
      <c r="H40" s="5" t="s">
        <v>1976</v>
      </c>
      <c r="I40" s="5" t="s">
        <v>1977</v>
      </c>
      <c r="J40" s="5" t="s">
        <v>1978</v>
      </c>
      <c r="K40" s="5" t="n">
        <f aca="false">COUNTIF(Catalogue!$A:$A,A40)</f>
        <v>10</v>
      </c>
    </row>
    <row r="41" customFormat="false" ht="35.05" hidden="false" customHeight="false" outlineLevel="0" collapsed="false">
      <c r="A41" s="5" t="s">
        <v>1154</v>
      </c>
      <c r="B41" s="5" t="s">
        <v>1954</v>
      </c>
      <c r="C41" s="5" t="s">
        <v>1979</v>
      </c>
      <c r="D41" s="5" t="s">
        <v>1980</v>
      </c>
      <c r="E41" s="5" t="s">
        <v>1981</v>
      </c>
      <c r="F41" s="5" t="s">
        <v>1982</v>
      </c>
      <c r="G41" s="5" t="s">
        <v>1983</v>
      </c>
      <c r="H41" s="5" t="s">
        <v>1984</v>
      </c>
      <c r="I41" s="5" t="s">
        <v>1985</v>
      </c>
      <c r="J41" s="5" t="s">
        <v>1986</v>
      </c>
      <c r="K41" s="5" t="n">
        <f aca="false">COUNTIF(Catalogue!$A:$A,A41)</f>
        <v>10</v>
      </c>
    </row>
    <row r="42" customFormat="false" ht="46.25" hidden="false" customHeight="false" outlineLevel="0" collapsed="false">
      <c r="A42" s="7" t="s">
        <v>1186</v>
      </c>
      <c r="B42" s="7" t="s">
        <v>1987</v>
      </c>
      <c r="C42" s="7" t="s">
        <v>1988</v>
      </c>
      <c r="D42" s="7" t="s">
        <v>1989</v>
      </c>
      <c r="E42" s="7" t="s">
        <v>1990</v>
      </c>
      <c r="F42" s="7" t="s">
        <v>1991</v>
      </c>
      <c r="G42" s="7" t="s">
        <v>1992</v>
      </c>
      <c r="H42" s="7" t="s">
        <v>1993</v>
      </c>
      <c r="I42" s="7" t="s">
        <v>1994</v>
      </c>
      <c r="J42" s="7" t="s">
        <v>1995</v>
      </c>
      <c r="K42" s="7" t="n">
        <f aca="false">COUNTIF(Catalogue!$A:$A,A42)</f>
        <v>10</v>
      </c>
    </row>
    <row r="43" customFormat="false" ht="46.25" hidden="false" customHeight="false" outlineLevel="0" collapsed="false">
      <c r="A43" s="7" t="s">
        <v>1233</v>
      </c>
      <c r="B43" s="7" t="s">
        <v>1987</v>
      </c>
      <c r="C43" s="7" t="s">
        <v>1996</v>
      </c>
      <c r="D43" s="7" t="s">
        <v>1997</v>
      </c>
      <c r="E43" s="7" t="s">
        <v>1998</v>
      </c>
      <c r="F43" s="7" t="s">
        <v>1999</v>
      </c>
      <c r="G43" s="7" t="s">
        <v>2000</v>
      </c>
      <c r="H43" s="7" t="s">
        <v>2001</v>
      </c>
      <c r="I43" s="7" t="s">
        <v>2002</v>
      </c>
      <c r="J43" s="7" t="s">
        <v>2003</v>
      </c>
      <c r="K43" s="7" t="n">
        <f aca="false">COUNTIF(Catalogue!$A:$A,A43)</f>
        <v>10</v>
      </c>
    </row>
    <row r="44" customFormat="false" ht="46.25" hidden="false" customHeight="false" outlineLevel="0" collapsed="false">
      <c r="A44" s="7" t="s">
        <v>1279</v>
      </c>
      <c r="B44" s="7" t="s">
        <v>1987</v>
      </c>
      <c r="C44" s="7" t="s">
        <v>2004</v>
      </c>
      <c r="D44" s="7" t="s">
        <v>2005</v>
      </c>
      <c r="E44" s="7" t="s">
        <v>2006</v>
      </c>
      <c r="F44" s="7" t="s">
        <v>2007</v>
      </c>
      <c r="G44" s="7" t="s">
        <v>2008</v>
      </c>
      <c r="H44" s="7" t="s">
        <v>2009</v>
      </c>
      <c r="I44" s="7" t="s">
        <v>2010</v>
      </c>
      <c r="J44" s="7" t="s">
        <v>2011</v>
      </c>
      <c r="K44" s="7" t="n">
        <f aca="false">COUNTIF(Catalogue!$A:$A,A44)</f>
        <v>10</v>
      </c>
    </row>
    <row r="45" customFormat="false" ht="46.25" hidden="false" customHeight="false" outlineLevel="0" collapsed="false">
      <c r="A45" s="7" t="s">
        <v>1320</v>
      </c>
      <c r="B45" s="7" t="s">
        <v>1987</v>
      </c>
      <c r="C45" s="7" t="s">
        <v>2012</v>
      </c>
      <c r="D45" s="7" t="s">
        <v>2013</v>
      </c>
      <c r="E45" s="7" t="s">
        <v>2014</v>
      </c>
      <c r="F45" s="7" t="s">
        <v>2015</v>
      </c>
      <c r="G45" s="7" t="s">
        <v>2016</v>
      </c>
      <c r="H45" s="7" t="s">
        <v>2017</v>
      </c>
      <c r="I45" s="7" t="s">
        <v>2018</v>
      </c>
      <c r="J45" s="7" t="s">
        <v>2019</v>
      </c>
      <c r="K45" s="7" t="n">
        <f aca="false">COUNTIF(Catalogue!$A:$A,A45)</f>
        <v>10</v>
      </c>
    </row>
    <row r="46" customFormat="false" ht="35.05" hidden="false" customHeight="false" outlineLevel="0" collapsed="false">
      <c r="A46" s="7" t="s">
        <v>1358</v>
      </c>
      <c r="B46" s="7" t="s">
        <v>1987</v>
      </c>
      <c r="C46" s="7" t="s">
        <v>2020</v>
      </c>
      <c r="D46" s="7" t="s">
        <v>2021</v>
      </c>
      <c r="E46" s="7" t="s">
        <v>2022</v>
      </c>
      <c r="F46" s="7" t="s">
        <v>2023</v>
      </c>
      <c r="G46" s="7" t="s">
        <v>2024</v>
      </c>
      <c r="H46" s="7" t="s">
        <v>2025</v>
      </c>
      <c r="I46" s="7" t="s">
        <v>2026</v>
      </c>
      <c r="J46" s="7" t="s">
        <v>2027</v>
      </c>
      <c r="K46" s="7" t="n">
        <f aca="false">COUNTIF(Catalogue!$A:$A,A46)</f>
        <v>10</v>
      </c>
    </row>
    <row r="47" customFormat="false" ht="46.25" hidden="false" customHeight="false" outlineLevel="0" collapsed="false">
      <c r="A47" s="7" t="s">
        <v>1403</v>
      </c>
      <c r="B47" s="7" t="s">
        <v>1987</v>
      </c>
      <c r="C47" s="7" t="s">
        <v>2028</v>
      </c>
      <c r="D47" s="7" t="s">
        <v>2029</v>
      </c>
      <c r="E47" s="7" t="s">
        <v>2030</v>
      </c>
      <c r="F47" s="7" t="s">
        <v>2031</v>
      </c>
      <c r="G47" s="7" t="s">
        <v>2032</v>
      </c>
      <c r="H47" s="7" t="s">
        <v>2033</v>
      </c>
      <c r="I47" s="7" t="s">
        <v>2034</v>
      </c>
      <c r="J47" s="7" t="s">
        <v>2035</v>
      </c>
      <c r="K47" s="7" t="n">
        <f aca="false">COUNTIF(Catalogue!$A:$A,A47)</f>
        <v>10</v>
      </c>
    </row>
    <row r="48" customFormat="false" ht="46.25" hidden="false" customHeight="false" outlineLevel="0" collapsed="false">
      <c r="A48" s="7" t="s">
        <v>1444</v>
      </c>
      <c r="B48" s="7" t="s">
        <v>1987</v>
      </c>
      <c r="C48" s="7" t="s">
        <v>2036</v>
      </c>
      <c r="D48" s="7" t="s">
        <v>2037</v>
      </c>
      <c r="E48" s="7" t="s">
        <v>2038</v>
      </c>
      <c r="F48" s="7" t="s">
        <v>2039</v>
      </c>
      <c r="G48" s="7" t="s">
        <v>2040</v>
      </c>
      <c r="H48" s="7" t="s">
        <v>2041</v>
      </c>
      <c r="I48" s="7" t="s">
        <v>2042</v>
      </c>
      <c r="J48" s="7" t="s">
        <v>2043</v>
      </c>
      <c r="K48" s="7" t="n">
        <f aca="false">COUNTIF(Catalogue!$A:$A,A48)</f>
        <v>10</v>
      </c>
    </row>
    <row r="49" customFormat="false" ht="35.05" hidden="false" customHeight="false" outlineLevel="0" collapsed="false">
      <c r="A49" s="7" t="s">
        <v>1482</v>
      </c>
      <c r="B49" s="7" t="s">
        <v>1987</v>
      </c>
      <c r="C49" s="7" t="s">
        <v>2044</v>
      </c>
      <c r="D49" s="7" t="s">
        <v>2045</v>
      </c>
      <c r="E49" s="7" t="s">
        <v>2046</v>
      </c>
      <c r="F49" s="7" t="s">
        <v>2047</v>
      </c>
      <c r="G49" s="7" t="s">
        <v>2048</v>
      </c>
      <c r="H49" s="7" t="s">
        <v>2049</v>
      </c>
      <c r="I49" s="7" t="s">
        <v>2050</v>
      </c>
      <c r="J49" s="7" t="s">
        <v>2051</v>
      </c>
      <c r="K49" s="7" t="n">
        <f aca="false">COUNTIF(Catalogue!$A:$A,A49)</f>
        <v>10</v>
      </c>
    </row>
    <row r="50" customFormat="false" ht="46.25" hidden="false" customHeight="false" outlineLevel="0" collapsed="false">
      <c r="A50" s="7" t="s">
        <v>1524</v>
      </c>
      <c r="B50" s="7" t="s">
        <v>1987</v>
      </c>
      <c r="C50" s="7" t="s">
        <v>2052</v>
      </c>
      <c r="D50" s="7" t="s">
        <v>2053</v>
      </c>
      <c r="E50" s="7" t="s">
        <v>2054</v>
      </c>
      <c r="F50" s="7" t="s">
        <v>2055</v>
      </c>
      <c r="G50" s="7" t="s">
        <v>2056</v>
      </c>
      <c r="H50" s="7" t="s">
        <v>2057</v>
      </c>
      <c r="I50" s="7" t="s">
        <v>2058</v>
      </c>
      <c r="J50" s="7" t="s">
        <v>2059</v>
      </c>
      <c r="K50" s="7" t="n">
        <f aca="false">COUNTIF(Catalogue!$A:$A,A50)</f>
        <v>10</v>
      </c>
    </row>
    <row r="51" customFormat="false" ht="35.05" hidden="false" customHeight="false" outlineLevel="0" collapsed="false">
      <c r="A51" s="7" t="s">
        <v>1563</v>
      </c>
      <c r="B51" s="7" t="s">
        <v>1987</v>
      </c>
      <c r="C51" s="7" t="s">
        <v>2060</v>
      </c>
      <c r="D51" s="7" t="s">
        <v>2061</v>
      </c>
      <c r="E51" s="7" t="s">
        <v>2062</v>
      </c>
      <c r="F51" s="7" t="s">
        <v>2063</v>
      </c>
      <c r="G51" s="7" t="s">
        <v>2064</v>
      </c>
      <c r="H51" s="7" t="s">
        <v>2065</v>
      </c>
      <c r="I51" s="7" t="s">
        <v>2066</v>
      </c>
      <c r="J51" s="7" t="s">
        <v>2067</v>
      </c>
      <c r="K51" s="7" t="n">
        <f aca="false">COUNTIF(Catalogue!$A:$A,A51)</f>
        <v>10</v>
      </c>
    </row>
    <row r="52" customFormat="false" ht="46.25" hidden="false" customHeight="false" outlineLevel="0" collapsed="false">
      <c r="A52" s="7" t="s">
        <v>1604</v>
      </c>
      <c r="B52" s="7" t="s">
        <v>1987</v>
      </c>
      <c r="C52" s="7" t="s">
        <v>2068</v>
      </c>
      <c r="D52" s="7" t="s">
        <v>2069</v>
      </c>
      <c r="E52" s="7" t="s">
        <v>2070</v>
      </c>
      <c r="F52" s="7" t="s">
        <v>2071</v>
      </c>
      <c r="G52" s="7" t="s">
        <v>2072</v>
      </c>
      <c r="H52" s="7" t="s">
        <v>2073</v>
      </c>
      <c r="I52" s="7" t="s">
        <v>2074</v>
      </c>
      <c r="J52" s="7" t="s">
        <v>2075</v>
      </c>
      <c r="K52" s="7" t="n">
        <f aca="false">COUNTIF(Catalogue!$A:$A,A52)</f>
        <v>10</v>
      </c>
    </row>
    <row r="53" customFormat="false" ht="35.05" hidden="false" customHeight="false" outlineLevel="0" collapsed="false">
      <c r="A53" s="7" t="s">
        <v>1642</v>
      </c>
      <c r="B53" s="7" t="s">
        <v>1987</v>
      </c>
      <c r="C53" s="7" t="s">
        <v>2076</v>
      </c>
      <c r="D53" s="7" t="s">
        <v>2077</v>
      </c>
      <c r="E53" s="7" t="s">
        <v>2078</v>
      </c>
      <c r="F53" s="7" t="s">
        <v>2079</v>
      </c>
      <c r="G53" s="7" t="s">
        <v>2080</v>
      </c>
      <c r="H53" s="7" t="s">
        <v>2081</v>
      </c>
      <c r="I53" s="7" t="s">
        <v>2082</v>
      </c>
      <c r="J53" s="7" t="s">
        <v>2083</v>
      </c>
      <c r="K53" s="7" t="n">
        <f aca="false">COUNTIF(Catalogue!$A:$A,A53)</f>
        <v>10</v>
      </c>
    </row>
  </sheetData>
  <autoFilter ref="A5:K5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0"/>
    <col collapsed="false" customWidth="true" hidden="false" outlineLevel="0" max="3" min="3" style="0" width="36"/>
    <col collapsed="false" customWidth="true" hidden="false" outlineLevel="0" max="4" min="4" style="0" width="32"/>
    <col collapsed="false" customWidth="true" hidden="false" outlineLevel="0" max="5" min="5" style="0" width="46"/>
    <col collapsed="false" customWidth="true" hidden="false" outlineLevel="0" max="6" min="6" style="0" width="18"/>
  </cols>
  <sheetData>
    <row r="1" customFormat="false" ht="17.35" hidden="false" customHeight="false" outlineLevel="0" collapsed="false">
      <c r="A1" s="1" t="s">
        <v>2084</v>
      </c>
    </row>
    <row r="3" customFormat="false" ht="15" hidden="false" customHeight="false" outlineLevel="0" collapsed="false">
      <c r="A3" s="3" t="s">
        <v>2085</v>
      </c>
    </row>
    <row r="5" customFormat="false" ht="15" hidden="false" customHeight="false" outlineLevel="0" collapsed="false">
      <c r="A5" s="4" t="s">
        <v>2086</v>
      </c>
      <c r="B5" s="4" t="s">
        <v>2087</v>
      </c>
      <c r="C5" s="4" t="s">
        <v>2088</v>
      </c>
      <c r="D5" s="4" t="s">
        <v>2089</v>
      </c>
      <c r="E5" s="4" t="s">
        <v>2090</v>
      </c>
      <c r="F5" s="4" t="s">
        <v>2091</v>
      </c>
    </row>
    <row r="6" customFormat="false" ht="23.85" hidden="false" customHeight="false" outlineLevel="0" collapsed="false">
      <c r="A6" s="5" t="s">
        <v>1124</v>
      </c>
      <c r="B6" s="5" t="s">
        <v>110</v>
      </c>
      <c r="C6" s="5" t="s">
        <v>111</v>
      </c>
      <c r="D6" s="5" t="s">
        <v>112</v>
      </c>
      <c r="E6" s="5" t="s">
        <v>2092</v>
      </c>
      <c r="F6" s="6" t="str">
        <f aca="false">HYPERLINK("https://www.mathworks.com/company/technical-articles/a-brief-history-of-matlab.html","Primary reference")</f>
        <v>Primary reference</v>
      </c>
    </row>
    <row r="7" customFormat="false" ht="23.85" hidden="false" customHeight="false" outlineLevel="0" collapsed="false">
      <c r="A7" s="5" t="s">
        <v>2093</v>
      </c>
      <c r="B7" s="5" t="s">
        <v>2094</v>
      </c>
      <c r="C7" s="5" t="s">
        <v>1124</v>
      </c>
      <c r="D7" s="5" t="s">
        <v>2095</v>
      </c>
      <c r="E7" s="5" t="s">
        <v>2096</v>
      </c>
      <c r="F7" s="6" t="str">
        <f aca="false">HYPERLINK("https://blogs.mathworks.com/matlab/2025/05/16/whats-with-all-the-big-changes-in-r2025a/","Primary reference")</f>
        <v>Primary reference</v>
      </c>
    </row>
    <row r="8" customFormat="false" ht="15" hidden="false" customHeight="false" outlineLevel="0" collapsed="false">
      <c r="A8" s="5" t="s">
        <v>202</v>
      </c>
      <c r="B8" s="5" t="s">
        <v>205</v>
      </c>
      <c r="C8" s="5" t="s">
        <v>206</v>
      </c>
      <c r="D8" s="5" t="s">
        <v>207</v>
      </c>
      <c r="E8" s="5" t="s">
        <v>2097</v>
      </c>
      <c r="F8" s="6" t="str">
        <f aca="false">HYPERLINK("https://www.docs.inductiveautomation.com/docs/8.3/platform","Primary reference")</f>
        <v>Primary reference</v>
      </c>
    </row>
    <row r="9" customFormat="false" ht="23.85" hidden="false" customHeight="false" outlineLevel="0" collapsed="false">
      <c r="A9" s="5" t="s">
        <v>92</v>
      </c>
      <c r="B9" s="5" t="s">
        <v>95</v>
      </c>
      <c r="C9" s="5" t="s">
        <v>96</v>
      </c>
      <c r="D9" s="5" t="s">
        <v>97</v>
      </c>
      <c r="E9" s="5" t="s">
        <v>2098</v>
      </c>
      <c r="F9" s="6" t="str">
        <f aca="false">HYPERLINK("https://www.pscad.com/knowledge-base/article/584","Primary reference")</f>
        <v>Primary reference</v>
      </c>
    </row>
    <row r="10" customFormat="false" ht="23.85" hidden="false" customHeight="false" outlineLevel="0" collapsed="false">
      <c r="A10" s="5" t="s">
        <v>626</v>
      </c>
      <c r="B10" s="5" t="s">
        <v>629</v>
      </c>
      <c r="C10" s="5" t="s">
        <v>630</v>
      </c>
      <c r="D10" s="5" t="s">
        <v>631</v>
      </c>
      <c r="E10" s="5" t="s">
        <v>2099</v>
      </c>
      <c r="F10" s="6" t="str">
        <f aca="false">HYPERLINK("https://ansyshelp.ansys.com/public/Views/Secured/corp/v242/en/flu_udf/flu_udf_WhatIsAUDF.html","Primary reference")</f>
        <v>Primary reference</v>
      </c>
    </row>
    <row r="11" customFormat="false" ht="23.85" hidden="false" customHeight="false" outlineLevel="0" collapsed="false">
      <c r="A11" s="5" t="s">
        <v>595</v>
      </c>
      <c r="B11" s="5" t="s">
        <v>598</v>
      </c>
      <c r="C11" s="5" t="s">
        <v>599</v>
      </c>
      <c r="D11" s="5" t="s">
        <v>600</v>
      </c>
      <c r="E11" s="5" t="s">
        <v>2100</v>
      </c>
      <c r="F11" s="6" t="str">
        <f aca="false">HYPERLINK("https://docs.software.vt.edu/abaqusv2025/English/SIMACAESUBRefMap/simasub-c-subroutineover.htm","Primary reference")</f>
        <v>Primary reference</v>
      </c>
    </row>
    <row r="12" customFormat="false" ht="23.85" hidden="false" customHeight="false" outlineLevel="0" collapsed="false">
      <c r="A12" s="5" t="s">
        <v>584</v>
      </c>
      <c r="B12" s="5" t="s">
        <v>587</v>
      </c>
      <c r="C12" s="5" t="s">
        <v>58</v>
      </c>
      <c r="D12" s="5" t="s">
        <v>367</v>
      </c>
      <c r="E12" s="5" t="s">
        <v>2101</v>
      </c>
      <c r="F12" s="6" t="str">
        <f aca="false">HYPERLINK("https://www.freecad.org/api/","Primary reference")</f>
        <v>Primary reference</v>
      </c>
    </row>
    <row r="13" customFormat="false" ht="15" hidden="false" customHeight="false" outlineLevel="0" collapsed="false">
      <c r="A13" s="5" t="s">
        <v>362</v>
      </c>
      <c r="B13" s="5" t="s">
        <v>365</v>
      </c>
      <c r="C13" s="5" t="s">
        <v>366</v>
      </c>
      <c r="D13" s="5" t="s">
        <v>367</v>
      </c>
      <c r="E13" s="5" t="s">
        <v>2102</v>
      </c>
      <c r="F13" s="6" t="str">
        <f aca="false">HYPERLINK("https://docs.kicad.org/doxygen/python__manager_8cpp_source.html","Primary reference")</f>
        <v>Primary reference</v>
      </c>
    </row>
    <row r="14" customFormat="false" ht="15" hidden="false" customHeight="false" outlineLevel="0" collapsed="false">
      <c r="A14" s="5" t="s">
        <v>650</v>
      </c>
      <c r="B14" s="5" t="s">
        <v>653</v>
      </c>
      <c r="C14" s="5" t="s">
        <v>654</v>
      </c>
      <c r="D14" s="5" t="s">
        <v>367</v>
      </c>
      <c r="E14" s="5" t="s">
        <v>2103</v>
      </c>
      <c r="F14" s="6" t="str">
        <f aca="false">HYPERLINK("https://openfoam.org/resources/","Primary reference")</f>
        <v>Primary reference</v>
      </c>
    </row>
    <row r="15" customFormat="false" ht="23.85" hidden="false" customHeight="false" outlineLevel="0" collapsed="false">
      <c r="A15" s="5" t="s">
        <v>47</v>
      </c>
      <c r="B15" s="5" t="s">
        <v>51</v>
      </c>
      <c r="C15" s="5" t="s">
        <v>52</v>
      </c>
      <c r="D15" s="5" t="s">
        <v>53</v>
      </c>
      <c r="E15" s="5" t="s">
        <v>2104</v>
      </c>
      <c r="F15" s="6" t="str">
        <f aca="false">HYPERLINK("https://sourceforge.net/projects/electricdss/files/OpenDSS/","Primary reference")</f>
        <v>Primary reference</v>
      </c>
    </row>
    <row r="16" customFormat="false" ht="15" hidden="false" customHeight="false" outlineLevel="0" collapsed="false">
      <c r="A16" s="5" t="s">
        <v>54</v>
      </c>
      <c r="B16" s="5" t="s">
        <v>57</v>
      </c>
      <c r="C16" s="5" t="s">
        <v>58</v>
      </c>
      <c r="D16" s="5" t="s">
        <v>59</v>
      </c>
      <c r="E16" s="5" t="s">
        <v>2105</v>
      </c>
      <c r="F16" s="6" t="str">
        <f aca="false">HYPERLINK("https://www.pandapower.org/","Primary reference")</f>
        <v>Primary reference</v>
      </c>
    </row>
    <row r="17" customFormat="false" ht="23.85" hidden="false" customHeight="false" outlineLevel="0" collapsed="false">
      <c r="A17" s="5" t="s">
        <v>300</v>
      </c>
      <c r="B17" s="5" t="s">
        <v>303</v>
      </c>
      <c r="C17" s="5" t="s">
        <v>58</v>
      </c>
      <c r="D17" s="5" t="s">
        <v>304</v>
      </c>
      <c r="E17" s="5" t="s">
        <v>2106</v>
      </c>
      <c r="F17" s="6" t="str">
        <f aca="false">HYPERLINK("https://pypsa.org/","Primary reference")</f>
        <v>Primary reference</v>
      </c>
    </row>
    <row r="18" customFormat="false" ht="23.85" hidden="false" customHeight="false" outlineLevel="0" collapsed="false">
      <c r="A18" s="5" t="s">
        <v>157</v>
      </c>
      <c r="B18" s="5" t="s">
        <v>160</v>
      </c>
      <c r="C18" s="5" t="s">
        <v>161</v>
      </c>
      <c r="D18" s="5" t="s">
        <v>162</v>
      </c>
      <c r="E18" s="5" t="s">
        <v>2107</v>
      </c>
      <c r="F18" s="6" t="str">
        <f aca="false">HYPERLINK("https://openmodelica.org/doc/OpenModelicaUsersGuide/1.26/compiler.html","Primary reference")</f>
        <v>Primary reference</v>
      </c>
    </row>
    <row r="19" customFormat="false" ht="23.85" hidden="false" customHeight="false" outlineLevel="0" collapsed="false">
      <c r="A19" s="5" t="s">
        <v>785</v>
      </c>
      <c r="B19" s="5" t="s">
        <v>788</v>
      </c>
      <c r="C19" s="5" t="s">
        <v>789</v>
      </c>
      <c r="D19" s="5" t="s">
        <v>790</v>
      </c>
      <c r="E19" s="5" t="s">
        <v>2108</v>
      </c>
      <c r="F19" s="6" t="str">
        <f aca="false">HYPERLINK("https://github.com/USEPA/epanet-engine","Primary reference")</f>
        <v>Primary reference</v>
      </c>
    </row>
    <row r="20" customFormat="false" ht="23.85" hidden="false" customHeight="false" outlineLevel="0" collapsed="false">
      <c r="A20" s="5" t="s">
        <v>934</v>
      </c>
      <c r="B20" s="5" t="s">
        <v>788</v>
      </c>
      <c r="C20" s="5" t="s">
        <v>937</v>
      </c>
      <c r="D20" s="5" t="s">
        <v>790</v>
      </c>
      <c r="E20" s="5" t="s">
        <v>2109</v>
      </c>
      <c r="F20" s="6" t="str">
        <f aca="false">HYPERLINK("https://github.com/USEPA/Stormwater-Management-Model","Primary reference")</f>
        <v>Primary reference</v>
      </c>
    </row>
    <row r="21" customFormat="false" ht="15" hidden="false" customHeight="false" outlineLevel="0" collapsed="false">
      <c r="A21" s="5" t="s">
        <v>719</v>
      </c>
      <c r="B21" s="5" t="s">
        <v>653</v>
      </c>
      <c r="C21" s="5" t="s">
        <v>722</v>
      </c>
      <c r="D21" s="5" t="s">
        <v>723</v>
      </c>
      <c r="E21" s="5" t="s">
        <v>2110</v>
      </c>
      <c r="F21" s="6" t="str">
        <f aca="false">HYPERLINK("https://www.projectchrono.org/","Primary reference")</f>
        <v>Primary reference</v>
      </c>
    </row>
    <row r="22" customFormat="false" ht="23.85" hidden="false" customHeight="false" outlineLevel="0" collapsed="false">
      <c r="A22" s="5" t="s">
        <v>491</v>
      </c>
      <c r="B22" s="5" t="s">
        <v>494</v>
      </c>
      <c r="C22" s="5" t="s">
        <v>495</v>
      </c>
      <c r="D22" s="5" t="s">
        <v>496</v>
      </c>
      <c r="E22" s="5" t="s">
        <v>2111</v>
      </c>
      <c r="F22" s="6" t="str">
        <f aca="false">HYPERLINK("https://github.com/ghdl/ghdl","Primary reference")</f>
        <v>Primary reference</v>
      </c>
    </row>
    <row r="23" customFormat="false" ht="15" hidden="false" customHeight="false" outlineLevel="0" collapsed="false">
      <c r="A23" s="5" t="s">
        <v>1179</v>
      </c>
      <c r="B23" s="5" t="s">
        <v>58</v>
      </c>
      <c r="C23" s="5" t="s">
        <v>58</v>
      </c>
      <c r="D23" s="5" t="s">
        <v>1182</v>
      </c>
      <c r="E23" s="5" t="s">
        <v>2112</v>
      </c>
      <c r="F23" s="6" t="str">
        <f aca="false">HYPERLINK("https://simpy.readthedocs.io/","Primary reference")</f>
        <v>Primary reference</v>
      </c>
    </row>
    <row r="24" customFormat="false" ht="23.85" hidden="false" customHeight="false" outlineLevel="0" collapsed="false">
      <c r="A24" s="5" t="s">
        <v>1151</v>
      </c>
      <c r="B24" s="5" t="s">
        <v>166</v>
      </c>
      <c r="C24" s="5" t="s">
        <v>167</v>
      </c>
      <c r="D24" s="5" t="s">
        <v>168</v>
      </c>
      <c r="E24" s="5" t="s">
        <v>2113</v>
      </c>
      <c r="F24" s="6" t="str">
        <f aca="false">HYPERLINK("https://octave.org/about","Primary reference")</f>
        <v>Primary reference</v>
      </c>
    </row>
    <row r="25" customFormat="false" ht="23.85" hidden="false" customHeight="false" outlineLevel="0" collapsed="false">
      <c r="A25" s="5" t="s">
        <v>328</v>
      </c>
      <c r="B25" s="5" t="s">
        <v>331</v>
      </c>
      <c r="C25" s="5" t="s">
        <v>332</v>
      </c>
      <c r="D25" s="5" t="s">
        <v>333</v>
      </c>
      <c r="E25" s="5" t="s">
        <v>2114</v>
      </c>
      <c r="F25" s="6" t="str">
        <f aca="false">HYPERLINK("https://ngspice.sourceforge.io/faq.html","Primary reference")</f>
        <v>Primary reference</v>
      </c>
    </row>
    <row r="26" customFormat="false" ht="15" hidden="false" customHeight="false" outlineLevel="0" collapsed="false">
      <c r="A26" s="5" t="s">
        <v>674</v>
      </c>
      <c r="B26" s="5" t="s">
        <v>677</v>
      </c>
      <c r="C26" s="5" t="s">
        <v>678</v>
      </c>
      <c r="D26" s="5" t="s">
        <v>679</v>
      </c>
      <c r="E26" s="5" t="s">
        <v>2115</v>
      </c>
      <c r="F26" s="6" t="str">
        <f aca="false">HYPERLINK("https://github.com/NatLabRockies/EnergyPlus","Primary reference")</f>
        <v>Primary reference</v>
      </c>
    </row>
    <row r="27" customFormat="false" ht="23.85" hidden="false" customHeight="false" outlineLevel="0" collapsed="false">
      <c r="A27" s="5" t="s">
        <v>1067</v>
      </c>
      <c r="B27" s="5" t="s">
        <v>1070</v>
      </c>
      <c r="C27" s="5" t="s">
        <v>1071</v>
      </c>
      <c r="D27" s="5" t="s">
        <v>1072</v>
      </c>
      <c r="E27" s="5" t="s">
        <v>2116</v>
      </c>
      <c r="F27" s="6" t="str">
        <f aca="false">HYPERLINK("https://robodk.com/doc/en/RoboDK-API.html","Primary reference")</f>
        <v>Primary reference</v>
      </c>
    </row>
    <row r="28" customFormat="false" ht="23.85" hidden="false" customHeight="false" outlineLevel="0" collapsed="false">
      <c r="A28" s="5" t="s">
        <v>2117</v>
      </c>
      <c r="B28" s="5" t="s">
        <v>173</v>
      </c>
      <c r="C28" s="5" t="s">
        <v>174</v>
      </c>
      <c r="D28" s="5" t="s">
        <v>22</v>
      </c>
      <c r="E28" s="5" t="s">
        <v>2118</v>
      </c>
      <c r="F28" s="6" t="str">
        <f aca="false">HYPERLINK("https://www.siemens.com/en-gb/products/tia-portal/step7/","Primary reference")</f>
        <v>Primary reference</v>
      </c>
    </row>
    <row r="29" customFormat="false" ht="23.85" hidden="false" customHeight="false" outlineLevel="0" collapsed="false">
      <c r="A29" s="5" t="s">
        <v>2119</v>
      </c>
      <c r="B29" s="5" t="s">
        <v>242</v>
      </c>
      <c r="C29" s="5" t="s">
        <v>243</v>
      </c>
      <c r="D29" s="5" t="s">
        <v>22</v>
      </c>
      <c r="E29" s="5" t="s">
        <v>2120</v>
      </c>
      <c r="F29" s="6" t="str">
        <f aca="false">HYPERLINK("https://www.ptc.com/en/products/creo","Primary reference")</f>
        <v>Primary reference</v>
      </c>
    </row>
    <row r="30" customFormat="false" ht="23.85" hidden="false" customHeight="false" outlineLevel="0" collapsed="false">
      <c r="A30" s="5" t="s">
        <v>2121</v>
      </c>
      <c r="B30" s="5" t="s">
        <v>20</v>
      </c>
      <c r="C30" s="5" t="s">
        <v>21</v>
      </c>
      <c r="D30" s="5" t="s">
        <v>22</v>
      </c>
      <c r="E30" s="5" t="s">
        <v>2122</v>
      </c>
      <c r="F30" s="6" t="str">
        <f aca="false">HYPERLINK("https://www.ansys.com/products","Primary reference")</f>
        <v>Primary reference</v>
      </c>
    </row>
    <row r="31" customFormat="false" ht="23.85" hidden="false" customHeight="false" outlineLevel="0" collapsed="false">
      <c r="A31" s="5" t="s">
        <v>2123</v>
      </c>
      <c r="B31" s="5" t="s">
        <v>309</v>
      </c>
      <c r="C31" s="5" t="s">
        <v>310</v>
      </c>
      <c r="D31" s="5" t="s">
        <v>22</v>
      </c>
      <c r="E31" s="5" t="s">
        <v>2124</v>
      </c>
      <c r="F31" s="6" t="str">
        <f aca="false">HYPERLINK("https://www.cadence.com/en_US/home/tools.html","Primary reference")</f>
        <v>Primary reference</v>
      </c>
    </row>
    <row r="32" customFormat="false" ht="23.85" hidden="false" customHeight="false" outlineLevel="0" collapsed="false">
      <c r="A32" s="5" t="s">
        <v>1404</v>
      </c>
      <c r="B32" s="5" t="s">
        <v>1258</v>
      </c>
      <c r="C32" s="5" t="s">
        <v>1407</v>
      </c>
      <c r="D32" s="5" t="s">
        <v>1203</v>
      </c>
      <c r="E32" s="5" t="s">
        <v>2125</v>
      </c>
      <c r="F32" s="6" t="str">
        <f aca="false">HYPERLINK("https://gitlab.com/wireshark/wireshark","Primary reference")</f>
        <v>Primary reference</v>
      </c>
    </row>
    <row r="33" customFormat="false" ht="23.85" hidden="false" customHeight="false" outlineLevel="0" collapsed="false">
      <c r="A33" s="5" t="s">
        <v>1250</v>
      </c>
      <c r="B33" s="5" t="s">
        <v>2126</v>
      </c>
      <c r="C33" s="5" t="s">
        <v>2127</v>
      </c>
      <c r="D33" s="5" t="s">
        <v>1203</v>
      </c>
      <c r="E33" s="5" t="s">
        <v>2128</v>
      </c>
      <c r="F33" s="6" t="str">
        <f aca="false">HYPERLINK("https://github.com/zabbix/zabbix","Primary reference")</f>
        <v>Primary reference</v>
      </c>
    </row>
    <row r="34" customFormat="false" ht="23.85" hidden="false" customHeight="false" outlineLevel="0" collapsed="false">
      <c r="A34" s="5" t="s">
        <v>2129</v>
      </c>
      <c r="B34" s="5" t="s">
        <v>1219</v>
      </c>
      <c r="C34" s="5" t="s">
        <v>1269</v>
      </c>
      <c r="D34" s="5" t="s">
        <v>1203</v>
      </c>
      <c r="E34" s="5" t="s">
        <v>2130</v>
      </c>
      <c r="F34" s="6" t="str">
        <f aca="false">HYPERLINK("https://github.com/prometheus/prometheus","Primary reference")</f>
        <v>Primary reference</v>
      </c>
    </row>
    <row r="35" customFormat="false" ht="23.85" hidden="false" customHeight="false" outlineLevel="0" collapsed="false">
      <c r="A35" s="5" t="s">
        <v>1303</v>
      </c>
      <c r="B35" s="5" t="s">
        <v>1306</v>
      </c>
      <c r="C35" s="5" t="s">
        <v>2131</v>
      </c>
      <c r="D35" s="5" t="s">
        <v>1203</v>
      </c>
      <c r="E35" s="5" t="s">
        <v>2132</v>
      </c>
      <c r="F35" s="6" t="str">
        <f aca="false">HYPERLINK("https://github.com/netbox-community/netbox","Primary reference")</f>
        <v>Primary reference</v>
      </c>
    </row>
    <row r="36" customFormat="false" ht="23.85" hidden="false" customHeight="false" outlineLevel="0" collapsed="false">
      <c r="A36" s="5" t="s">
        <v>1299</v>
      </c>
      <c r="B36" s="5" t="s">
        <v>58</v>
      </c>
      <c r="C36" s="5" t="s">
        <v>1302</v>
      </c>
      <c r="D36" s="5" t="s">
        <v>1203</v>
      </c>
      <c r="E36" s="5" t="s">
        <v>2133</v>
      </c>
      <c r="F36" s="6" t="str">
        <f aca="false">HYPERLINK("https://github.com/ansible/ansible","Primary reference")</f>
        <v>Primary reference</v>
      </c>
    </row>
    <row r="37" customFormat="false" ht="23.85" hidden="false" customHeight="false" outlineLevel="0" collapsed="false">
      <c r="A37" s="5" t="s">
        <v>1312</v>
      </c>
      <c r="B37" s="5" t="s">
        <v>1315</v>
      </c>
      <c r="C37" s="5" t="s">
        <v>2134</v>
      </c>
      <c r="D37" s="5" t="s">
        <v>1203</v>
      </c>
      <c r="E37" s="5" t="s">
        <v>2135</v>
      </c>
      <c r="F37" s="6" t="str">
        <f aca="false">HYPERLINK("https://github.com/batfish/batfish","Primary reference")</f>
        <v>Primary reference</v>
      </c>
    </row>
    <row r="38" customFormat="false" ht="23.85" hidden="false" customHeight="false" outlineLevel="0" collapsed="false">
      <c r="A38" s="5" t="s">
        <v>1394</v>
      </c>
      <c r="B38" s="5" t="s">
        <v>1397</v>
      </c>
      <c r="C38" s="5" t="s">
        <v>1398</v>
      </c>
      <c r="D38" s="5" t="s">
        <v>1203</v>
      </c>
      <c r="E38" s="5" t="s">
        <v>2136</v>
      </c>
      <c r="F38" s="6" t="str">
        <f aca="false">HYPERLINK("https://github.com/OISF/suricata","Primary reference")</f>
        <v>Primary reference</v>
      </c>
    </row>
    <row r="39" customFormat="false" ht="23.85" hidden="false" customHeight="false" outlineLevel="0" collapsed="false">
      <c r="A39" s="5" t="s">
        <v>1399</v>
      </c>
      <c r="B39" s="5" t="s">
        <v>653</v>
      </c>
      <c r="C39" s="5" t="s">
        <v>2137</v>
      </c>
      <c r="D39" s="5" t="s">
        <v>1203</v>
      </c>
      <c r="E39" s="5" t="s">
        <v>2138</v>
      </c>
      <c r="F39" s="6" t="str">
        <f aca="false">HYPERLINK("https://github.com/zeek/zeek","Primary reference")</f>
        <v>Primary reference</v>
      </c>
    </row>
    <row r="40" customFormat="false" ht="23.85" hidden="false" customHeight="false" outlineLevel="0" collapsed="false">
      <c r="A40" s="5" t="s">
        <v>1412</v>
      </c>
      <c r="B40" s="5" t="s">
        <v>1353</v>
      </c>
      <c r="C40" s="5" t="s">
        <v>2139</v>
      </c>
      <c r="D40" s="5" t="s">
        <v>1203</v>
      </c>
      <c r="E40" s="5" t="s">
        <v>1414</v>
      </c>
      <c r="F40" s="6" t="str">
        <f aca="false">HYPERLINK("https://github.com/nmap/nmap","Primary reference")</f>
        <v>Primary reference</v>
      </c>
    </row>
    <row r="41" customFormat="false" ht="23.85" hidden="false" customHeight="false" outlineLevel="0" collapsed="false">
      <c r="A41" s="5" t="s">
        <v>1431</v>
      </c>
      <c r="B41" s="5" t="s">
        <v>1434</v>
      </c>
      <c r="C41" s="5" t="s">
        <v>1435</v>
      </c>
      <c r="D41" s="5" t="s">
        <v>1203</v>
      </c>
      <c r="E41" s="5" t="s">
        <v>2140</v>
      </c>
      <c r="F41" s="6" t="str">
        <f aca="false">HYPERLINK("https://github.com/rapid7/metasploit-framework","Primary reference")</f>
        <v>Primary reference</v>
      </c>
    </row>
    <row r="42" customFormat="false" ht="23.85" hidden="false" customHeight="false" outlineLevel="0" collapsed="false">
      <c r="A42" s="5" t="s">
        <v>1501</v>
      </c>
      <c r="B42" s="5" t="s">
        <v>1504</v>
      </c>
      <c r="C42" s="5" t="s">
        <v>1505</v>
      </c>
      <c r="D42" s="5" t="s">
        <v>1203</v>
      </c>
      <c r="E42" s="5" t="s">
        <v>2141</v>
      </c>
      <c r="F42" s="6" t="str">
        <f aca="false">HYPERLINK("https://github.com/OpenVoxProject/openvox","Primary reference")</f>
        <v>Primary reference</v>
      </c>
    </row>
    <row r="43" customFormat="false" ht="23.85" hidden="false" customHeight="false" outlineLevel="0" collapsed="false">
      <c r="A43" s="5" t="s">
        <v>1539</v>
      </c>
      <c r="B43" s="5" t="s">
        <v>1542</v>
      </c>
      <c r="C43" s="5" t="s">
        <v>1543</v>
      </c>
      <c r="D43" s="5" t="s">
        <v>1203</v>
      </c>
      <c r="E43" s="5" t="s">
        <v>2142</v>
      </c>
      <c r="F43" s="6" t="str">
        <f aca="false">HYPERLINK("https://git.proxmox.com/","Primary reference")</f>
        <v>Primary reference</v>
      </c>
    </row>
    <row r="44" customFormat="false" ht="23.85" hidden="false" customHeight="false" outlineLevel="0" collapsed="false">
      <c r="A44" s="5" t="s">
        <v>1571</v>
      </c>
      <c r="B44" s="5" t="s">
        <v>1219</v>
      </c>
      <c r="C44" s="5" t="s">
        <v>1574</v>
      </c>
      <c r="D44" s="5" t="s">
        <v>1203</v>
      </c>
      <c r="E44" s="5" t="s">
        <v>2143</v>
      </c>
      <c r="F44" s="6" t="str">
        <f aca="false">HYPERLINK("https://github.com/kubernetes/kubernetes","Primary reference")</f>
        <v>Primary reference</v>
      </c>
    </row>
    <row r="45" customFormat="false" ht="23.85" hidden="false" customHeight="false" outlineLevel="0" collapsed="false">
      <c r="A45" s="5" t="s">
        <v>1568</v>
      </c>
      <c r="B45" s="5" t="s">
        <v>1219</v>
      </c>
      <c r="C45" s="5" t="s">
        <v>1567</v>
      </c>
      <c r="D45" s="5" t="s">
        <v>1203</v>
      </c>
      <c r="E45" s="5" t="s">
        <v>2144</v>
      </c>
      <c r="F45" s="6" t="str">
        <f aca="false">HYPERLINK("https://github.com/opentofu/opentofu","Primary reference")</f>
        <v>Primary reference</v>
      </c>
    </row>
    <row r="46" customFormat="false" ht="23.85" hidden="false" customHeight="false" outlineLevel="0" collapsed="false">
      <c r="A46" s="5" t="s">
        <v>1616</v>
      </c>
      <c r="B46" s="5" t="s">
        <v>1258</v>
      </c>
      <c r="C46" s="5" t="s">
        <v>1619</v>
      </c>
      <c r="D46" s="5" t="s">
        <v>1203</v>
      </c>
      <c r="E46" s="5" t="s">
        <v>2145</v>
      </c>
      <c r="F46" s="6" t="str">
        <f aca="false">HYPERLINK("https://github.com/postgres/postgres","Primary reference")</f>
        <v>Primary reference</v>
      </c>
    </row>
    <row r="47" customFormat="false" ht="23.85" hidden="false" customHeight="false" outlineLevel="0" collapsed="false">
      <c r="A47" s="5" t="s">
        <v>2146</v>
      </c>
      <c r="B47" s="5" t="s">
        <v>2147</v>
      </c>
      <c r="C47" s="5" t="s">
        <v>1638</v>
      </c>
      <c r="D47" s="5" t="s">
        <v>1203</v>
      </c>
      <c r="E47" s="5" t="s">
        <v>2148</v>
      </c>
      <c r="F47" s="6" t="str">
        <f aca="false">HYPERLINK("https://github.com/influxdata/influxdb","Primary reference")</f>
        <v>Primary reference</v>
      </c>
    </row>
    <row r="48" customFormat="false" ht="23.85" hidden="false" customHeight="false" outlineLevel="0" collapsed="false">
      <c r="A48" s="5" t="s">
        <v>1662</v>
      </c>
      <c r="B48" s="5" t="s">
        <v>1263</v>
      </c>
      <c r="C48" s="5" t="s">
        <v>1665</v>
      </c>
      <c r="D48" s="5" t="s">
        <v>1203</v>
      </c>
      <c r="E48" s="5" t="s">
        <v>2149</v>
      </c>
      <c r="F48" s="6" t="str">
        <f aca="false">HYPERLINK("https://github.com/glpi-project/glpi","Primary reference")</f>
        <v>Primary reference</v>
      </c>
    </row>
    <row r="49" customFormat="false" ht="23.85" hidden="false" customHeight="false" outlineLevel="0" collapsed="false">
      <c r="A49" s="5" t="s">
        <v>2150</v>
      </c>
      <c r="B49" s="5" t="s">
        <v>2151</v>
      </c>
      <c r="C49" s="5" t="s">
        <v>2152</v>
      </c>
      <c r="D49" s="5" t="s">
        <v>22</v>
      </c>
      <c r="E49" s="5" t="s">
        <v>2153</v>
      </c>
      <c r="F49" s="6" t="str">
        <f aca="false">HYPERLINK("https://www.splunk.com/","Primary reference")</f>
        <v>Primary reference</v>
      </c>
    </row>
  </sheetData>
  <autoFilter ref="A5:F4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0"/>
  </cols>
  <sheetData>
    <row r="1" customFormat="false" ht="17.35" hidden="false" customHeight="false" outlineLevel="0" collapsed="false">
      <c r="A1" s="1" t="s">
        <v>2154</v>
      </c>
    </row>
    <row r="3" customFormat="false" ht="23.85" hidden="false" customHeight="false" outlineLevel="0" collapsed="false">
      <c r="A3" s="9" t="s">
        <v>2155</v>
      </c>
      <c r="B3" s="10" t="s">
        <v>2156</v>
      </c>
    </row>
    <row r="4" customFormat="false" ht="23.85" hidden="false" customHeight="false" outlineLevel="0" collapsed="false">
      <c r="A4" s="9" t="s">
        <v>1687</v>
      </c>
      <c r="B4" s="10" t="s">
        <v>2157</v>
      </c>
    </row>
    <row r="5" customFormat="false" ht="23.85" hidden="false" customHeight="false" outlineLevel="0" collapsed="false">
      <c r="A5" s="9" t="s">
        <v>2158</v>
      </c>
      <c r="B5" s="10" t="s">
        <v>2159</v>
      </c>
    </row>
    <row r="6" customFormat="false" ht="15" hidden="false" customHeight="false" outlineLevel="0" collapsed="false">
      <c r="A6" s="9" t="s">
        <v>17</v>
      </c>
      <c r="B6" s="10" t="s">
        <v>2160</v>
      </c>
    </row>
    <row r="7" customFormat="false" ht="15" hidden="false" customHeight="false" outlineLevel="0" collapsed="false">
      <c r="A7" s="9" t="s">
        <v>117</v>
      </c>
      <c r="B7" s="10" t="s">
        <v>2161</v>
      </c>
    </row>
    <row r="8" customFormat="false" ht="15" hidden="false" customHeight="false" outlineLevel="0" collapsed="false">
      <c r="A8" s="9" t="s">
        <v>48</v>
      </c>
      <c r="B8" s="10" t="s">
        <v>2162</v>
      </c>
    </row>
    <row r="9" customFormat="false" ht="15" hidden="false" customHeight="false" outlineLevel="0" collapsed="false">
      <c r="A9" s="9" t="s">
        <v>2163</v>
      </c>
      <c r="B9" s="10" t="s">
        <v>2164</v>
      </c>
    </row>
    <row r="10" customFormat="false" ht="15" hidden="false" customHeight="false" outlineLevel="0" collapsed="false">
      <c r="A10" s="9" t="s">
        <v>849</v>
      </c>
      <c r="B10" s="10" t="s">
        <v>2165</v>
      </c>
    </row>
    <row r="11" customFormat="false" ht="23.85" hidden="false" customHeight="false" outlineLevel="0" collapsed="false">
      <c r="A11" s="9" t="s">
        <v>23</v>
      </c>
      <c r="B11" s="10" t="s">
        <v>2166</v>
      </c>
    </row>
    <row r="12" customFormat="false" ht="15" hidden="false" customHeight="false" outlineLevel="0" collapsed="false">
      <c r="A12" s="9" t="s">
        <v>30</v>
      </c>
      <c r="B12" s="10" t="s">
        <v>2167</v>
      </c>
    </row>
    <row r="13" customFormat="false" ht="23.85" hidden="false" customHeight="false" outlineLevel="0" collapsed="false">
      <c r="A13" s="9" t="s">
        <v>37</v>
      </c>
      <c r="B13" s="10" t="s">
        <v>2168</v>
      </c>
    </row>
    <row r="14" customFormat="false" ht="23.85" hidden="false" customHeight="false" outlineLevel="0" collapsed="false">
      <c r="A14" s="9" t="s">
        <v>1193</v>
      </c>
      <c r="B14" s="10" t="s">
        <v>2169</v>
      </c>
    </row>
    <row r="15" customFormat="false" ht="23.85" hidden="false" customHeight="false" outlineLevel="0" collapsed="false">
      <c r="A15" s="9" t="s">
        <v>2170</v>
      </c>
      <c r="B15" s="10" t="s">
        <v>2171</v>
      </c>
    </row>
    <row r="16" customFormat="false" ht="23.85" hidden="false" customHeight="false" outlineLevel="0" collapsed="false">
      <c r="A16" s="9" t="s">
        <v>8</v>
      </c>
      <c r="B16" s="10" t="s">
        <v>2172</v>
      </c>
    </row>
    <row r="17" customFormat="false" ht="23.85" hidden="false" customHeight="false" outlineLevel="0" collapsed="false">
      <c r="A17" s="9" t="s">
        <v>2173</v>
      </c>
      <c r="B17" s="10" t="s">
        <v>2174</v>
      </c>
    </row>
    <row r="18" customFormat="false" ht="35.05" hidden="false" customHeight="false" outlineLevel="0" collapsed="false">
      <c r="A18" s="9" t="s">
        <v>2175</v>
      </c>
      <c r="B18" s="10" t="s">
        <v>2176</v>
      </c>
    </row>
    <row r="19" customFormat="false" ht="15" hidden="false" customHeight="false" outlineLevel="0" collapsed="false">
      <c r="A19" s="9" t="s">
        <v>2177</v>
      </c>
      <c r="B19" s="10" t="s">
        <v>2178</v>
      </c>
    </row>
    <row r="20" customFormat="false" ht="23.85" hidden="false" customHeight="false" outlineLevel="0" collapsed="false">
      <c r="A20" s="9" t="s">
        <v>2179</v>
      </c>
      <c r="B20" s="10" t="s">
        <v>2180</v>
      </c>
    </row>
    <row r="21" customFormat="false" ht="23.85" hidden="false" customHeight="false" outlineLevel="0" collapsed="false">
      <c r="A21" s="9" t="s">
        <v>2181</v>
      </c>
      <c r="B21" s="10" t="s">
        <v>2182</v>
      </c>
    </row>
    <row r="22" customFormat="false" ht="23.85" hidden="false" customHeight="false" outlineLevel="0" collapsed="false">
      <c r="A22" s="9" t="s">
        <v>2183</v>
      </c>
      <c r="B22" s="10" t="s">
        <v>2184</v>
      </c>
    </row>
    <row r="23" customFormat="false" ht="23.85" hidden="false" customHeight="false" outlineLevel="0" collapsed="false">
      <c r="A23" s="9" t="s">
        <v>2185</v>
      </c>
      <c r="B23" s="10" t="s">
        <v>2186</v>
      </c>
    </row>
    <row r="24" customFormat="false" ht="15" hidden="false" customHeight="false" outlineLevel="0" collapsed="false">
      <c r="A24" s="9" t="s">
        <v>2187</v>
      </c>
      <c r="B24" s="10" t="s">
        <v>2188</v>
      </c>
    </row>
    <row r="25" customFormat="false" ht="23.85" hidden="false" customHeight="false" outlineLevel="0" collapsed="false">
      <c r="A25" s="9" t="s">
        <v>2189</v>
      </c>
      <c r="B25" s="10" t="s">
        <v>2190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2026-10-07T14:32:07Z</dcterms:created>
  <dc:creator>openpyxl</dc:creator>
  <dc:description/>
  <dc:language>en-US</dc:language>
  <cp:lastModifiedBy/>
  <dcterms:modified xsi:type="dcterms:W3CDTF">2026-10-07T14:32:07Z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